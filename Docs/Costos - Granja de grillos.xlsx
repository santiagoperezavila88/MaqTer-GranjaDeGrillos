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anti\Documentos\Tec\Tec\6 S\reto grillos\"/>
    </mc:Choice>
  </mc:AlternateContent>
  <xr:revisionPtr revIDLastSave="0" documentId="8_{C01E45A5-7B42-45A0-9BC6-CF15E6DCFA3A}" xr6:coauthVersionLast="47" xr6:coauthVersionMax="47" xr10:uidLastSave="{00000000-0000-0000-0000-000000000000}"/>
  <bookViews>
    <workbookView xWindow="-120" yWindow="-120" windowWidth="38640" windowHeight="15720" xr2:uid="{CD69022C-7262-4A63-84CC-A1DE222279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G20" i="1"/>
  <c r="G22" i="1"/>
  <c r="G18" i="1"/>
  <c r="G40" i="1"/>
  <c r="G39" i="1"/>
  <c r="G38" i="1"/>
  <c r="G37" i="1"/>
  <c r="G36" i="1"/>
  <c r="G35" i="1"/>
  <c r="G34" i="1"/>
  <c r="G33" i="1"/>
  <c r="G28" i="1"/>
  <c r="G31" i="1"/>
  <c r="G30" i="1"/>
  <c r="G27" i="1"/>
  <c r="G26" i="1"/>
  <c r="G25" i="1"/>
  <c r="G16" i="1" l="1"/>
  <c r="G14" i="1"/>
  <c r="G12" i="1"/>
  <c r="G9" i="1"/>
  <c r="G7" i="1"/>
  <c r="G4" i="1"/>
  <c r="G43" i="1" s="1"/>
  <c r="G53" i="1" l="1"/>
  <c r="G48" i="1"/>
</calcChain>
</file>

<file path=xl/sharedStrings.xml><?xml version="1.0" encoding="utf-8"?>
<sst xmlns="http://schemas.openxmlformats.org/spreadsheetml/2006/main" count="115" uniqueCount="95">
  <si>
    <t xml:space="preserve">Concepto </t>
  </si>
  <si>
    <t xml:space="preserve">Especificaciones </t>
  </si>
  <si>
    <t>Cant.</t>
  </si>
  <si>
    <t>Precio Unit.</t>
  </si>
  <si>
    <t xml:space="preserve">Uds. Total </t>
  </si>
  <si>
    <t>Subtotal</t>
  </si>
  <si>
    <t>1. Estantería de Alambre Cromado</t>
  </si>
  <si>
    <t xml:space="preserve">Rack Cromado </t>
  </si>
  <si>
    <t xml:space="preserve">72" x 36" x 86" | Cap. 650 lbs/repisa </t>
  </si>
  <si>
    <t xml:space="preserve">20 racks </t>
  </si>
  <si>
    <t>Nota:  Descuento aplica por compra ≥ 3 uds</t>
  </si>
  <si>
    <t>2. Cajas de Almacenamiento</t>
  </si>
  <si>
    <t xml:space="preserve">Cajas de almacenamiento </t>
  </si>
  <si>
    <t>80 x 40 x 30 cm</t>
  </si>
  <si>
    <t xml:space="preserve">1/rack </t>
  </si>
  <si>
    <t>3. Charolas Calefactoras (Cartridge Heater)</t>
  </si>
  <si>
    <t xml:space="preserve">Charola Calefactora </t>
  </si>
  <si>
    <t>60 x 40 x 10 cm | 50 W c/u</t>
  </si>
  <si>
    <t xml:space="preserve">4/rack </t>
  </si>
  <si>
    <t>80 uds</t>
  </si>
  <si>
    <t>Cartridge Heater 60W - 3"lg - 120 VAC - 36 W/sq in - 1/4# Dia | 200 W/rack →  4,000 W totales (4.0 kW)</t>
  </si>
  <si>
    <t xml:space="preserve">4. Ventiladores </t>
  </si>
  <si>
    <t xml:space="preserve">AC Infinity Multifan S2 </t>
  </si>
  <si>
    <t xml:space="preserve">120 mm USB - Control de velocidad </t>
  </si>
  <si>
    <t>Gran Total (precio pendiente de cotización)</t>
  </si>
  <si>
    <t xml:space="preserve">Propuestas 1 -  Bodega no aislada con Racks Aislados </t>
  </si>
  <si>
    <t>Aislante térmico de Poliuretano (PU)</t>
  </si>
  <si>
    <t xml:space="preserve">Panel de espuma rígida PU para Aislante térmico </t>
  </si>
  <si>
    <t>15.258 / Rack</t>
  </si>
  <si>
    <t>20 Racks</t>
  </si>
  <si>
    <t>Propuesta 2 - Bodega aislada con racks aislados</t>
  </si>
  <si>
    <t xml:space="preserve">240 cajas </t>
  </si>
  <si>
    <t>Gran Total</t>
  </si>
  <si>
    <t xml:space="preserve">Aislante PU para Racks </t>
  </si>
  <si>
    <t>Aislante Pu para Bodega</t>
  </si>
  <si>
    <t xml:space="preserve">Espuma rígida de Poliuretano </t>
  </si>
  <si>
    <t xml:space="preserve">Panel aislante de poliuretano </t>
  </si>
  <si>
    <t xml:space="preserve">108.782 / Rack </t>
  </si>
  <si>
    <t>Toda la bodega</t>
  </si>
  <si>
    <t>40 uds</t>
  </si>
  <si>
    <t>2/rack</t>
  </si>
  <si>
    <t xml:space="preserve">5. Control de temperaturas </t>
  </si>
  <si>
    <t>W1209 Control de Temperatura Digital Sensor Ntc</t>
  </si>
  <si>
    <t>2 Pzas por unidad, con una fuente de voltaje de 12 V</t>
  </si>
  <si>
    <t>10 uds</t>
  </si>
  <si>
    <t xml:space="preserve">6. Control de Humedad </t>
  </si>
  <si>
    <t>Sensor de humedad de Suelo YL-69</t>
  </si>
  <si>
    <t>Módulo Yl-38 Para ardunio con amplia compatibilidad</t>
  </si>
  <si>
    <t>20 uds</t>
  </si>
  <si>
    <t xml:space="preserve">7. Costo de paneles </t>
  </si>
  <si>
    <t xml:space="preserve">8. Baterias </t>
  </si>
  <si>
    <t>1 uds</t>
  </si>
  <si>
    <t xml:space="preserve">9. Inversor </t>
  </si>
  <si>
    <t>4 uds</t>
  </si>
  <si>
    <t xml:space="preserve">Solar Lithium LiFePO4 </t>
  </si>
  <si>
    <t>Baterry 51.2V/100 Ah, con vida útil de hasta 10 años o 6000 ciclos</t>
  </si>
  <si>
    <t xml:space="preserve">Canadian Solar TOPBiHiKu6 Bifacial </t>
  </si>
  <si>
    <t>Canadian Solar CSI-5KTL1P-GI-FL INVERTER</t>
  </si>
  <si>
    <t>Potencia nominal 5KW, Eficiencia aprox 98%, Protección contra sobrecorriente, cortocircuito y porlaridad inversa</t>
  </si>
  <si>
    <t>10. Cable</t>
  </si>
  <si>
    <t>Cable</t>
  </si>
  <si>
    <t xml:space="preserve">Metro de cable solar DC 4MM negro </t>
  </si>
  <si>
    <t>12 uds</t>
  </si>
  <si>
    <t xml:space="preserve">Cable </t>
  </si>
  <si>
    <t>Cable Calibre 10 AWG (2 fases y tierra)</t>
  </si>
  <si>
    <t>75 uds</t>
  </si>
  <si>
    <t>Cable calibre 3/0 AWG</t>
  </si>
  <si>
    <t xml:space="preserve">11. Estructura </t>
  </si>
  <si>
    <t>Block de distribución</t>
  </si>
  <si>
    <t>Block de distribucción Pdb-55-500-1 Ilsco</t>
  </si>
  <si>
    <t>2 uds</t>
  </si>
  <si>
    <t>Block de distribucción Lda-26-350 Ilsco</t>
  </si>
  <si>
    <t>Barra Neutro/tierra</t>
  </si>
  <si>
    <t>Barra neutro/tierra 12 conexiones calibres 350 KCM</t>
  </si>
  <si>
    <t xml:space="preserve">Conectores </t>
  </si>
  <si>
    <t>Par de conectores MC4 macho y hembra</t>
  </si>
  <si>
    <t>Sistema de monitoreo</t>
  </si>
  <si>
    <t>12. Otros componentes</t>
  </si>
  <si>
    <t>Unidad de transferencia de datos</t>
  </si>
  <si>
    <t xml:space="preserve">Placa de montaje </t>
  </si>
  <si>
    <t xml:space="preserve">Placa de montaje ciega 300x300 mm metalica Schneider Electric </t>
  </si>
  <si>
    <t xml:space="preserve">Otros materiales </t>
  </si>
  <si>
    <t xml:space="preserve">Taquetes de compresión </t>
  </si>
  <si>
    <t>16 uds</t>
  </si>
  <si>
    <t>Tubo conduit pared delgada 3/4</t>
  </si>
  <si>
    <t xml:space="preserve">7 uds </t>
  </si>
  <si>
    <t>Condulet para tubo conduit de 3/4</t>
  </si>
  <si>
    <t>Coples de compresión condult 3/4</t>
  </si>
  <si>
    <t>6 uds</t>
  </si>
  <si>
    <t>Abrazaderas tipo "O" 3/4</t>
  </si>
  <si>
    <t>Módulo Solar 710 W, Bifacial, 48.6 Vcc, Monocristalino. Celda tipo N, Doble Vidrio</t>
  </si>
  <si>
    <t xml:space="preserve">13. Servicio </t>
  </si>
  <si>
    <t>Intalación</t>
  </si>
  <si>
    <t>Instalación de sistema fotovoltaico</t>
  </si>
  <si>
    <t>NOTAS: Los precios presentados pueden variar dependiendo del tiempo de busqueda de cada uno. Precio de Instalación del sistema Fotovoltáico tomado como referencia de una instalación de mayor exigencia (Precio sujeto a las características del proyecto).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</si>
</sst>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8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/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8" fontId="5" fillId="4" borderId="1" xfId="0" applyNumberFormat="1" applyFont="1" applyFill="1" applyBorder="1" applyAlignment="1">
      <alignment horizontal="center" vertical="center"/>
    </xf>
    <xf numFmtId="8" fontId="4" fillId="4" borderId="1" xfId="0" applyNumberFormat="1" applyFont="1" applyFill="1" applyBorder="1" applyAlignment="1">
      <alignment horizontal="center" vertical="center"/>
    </xf>
    <xf numFmtId="8" fontId="5" fillId="4" borderId="1" xfId="0" applyNumberFormat="1" applyFont="1" applyFill="1" applyBorder="1" applyAlignment="1">
      <alignment horizontal="center" vertical="center" wrapText="1"/>
    </xf>
    <xf numFmtId="8" fontId="4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8" fontId="2" fillId="2" borderId="1" xfId="0" applyNumberFormat="1" applyFont="1" applyFill="1" applyBorder="1" applyAlignment="1">
      <alignment horizontal="center"/>
    </xf>
    <xf numFmtId="8" fontId="4" fillId="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8" fontId="1" fillId="4" borderId="1" xfId="0" applyNumberFormat="1" applyFont="1" applyFill="1" applyBorder="1" applyAlignment="1">
      <alignment horizontal="center" vertical="center"/>
    </xf>
    <xf numFmtId="6" fontId="0" fillId="4" borderId="1" xfId="0" applyNumberFormat="1" applyFill="1" applyBorder="1" applyAlignment="1">
      <alignment horizontal="center" vertical="center" wrapText="1"/>
    </xf>
    <xf numFmtId="8" fontId="1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8" fontId="6" fillId="4" borderId="1" xfId="0" applyNumberFormat="1" applyFont="1" applyFill="1" applyBorder="1" applyAlignment="1">
      <alignment horizontal="center" vertical="center"/>
    </xf>
    <xf numFmtId="8" fontId="6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6" fontId="5" fillId="4" borderId="1" xfId="0" applyNumberFormat="1" applyFont="1" applyFill="1" applyBorder="1" applyAlignment="1">
      <alignment horizontal="center" vertical="center" wrapText="1"/>
    </xf>
    <xf numFmtId="8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5" borderId="0" xfId="0" applyFont="1" applyFill="1" applyBorder="1"/>
    <xf numFmtId="0" fontId="0" fillId="5" borderId="0" xfId="0" applyFill="1" applyBorder="1"/>
    <xf numFmtId="0" fontId="0" fillId="5" borderId="0" xfId="0" applyFill="1" applyBorder="1" applyAlignment="1">
      <alignment horizontal="center" vertical="center"/>
    </xf>
    <xf numFmtId="0" fontId="0" fillId="5" borderId="0" xfId="0" applyFill="1" applyBorder="1" applyAlignment="1">
      <alignment vertical="center"/>
    </xf>
    <xf numFmtId="0" fontId="0" fillId="5" borderId="0" xfId="0" applyFill="1" applyBorder="1" applyAlignment="1">
      <alignment vertical="center" wrapText="1"/>
    </xf>
    <xf numFmtId="0" fontId="0" fillId="5" borderId="0" xfId="0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6" fontId="4" fillId="4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527050</xdr:colOff>
      <xdr:row>19</xdr:row>
      <xdr:rowOff>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00FE079-A59F-265D-58CC-14061743D6A7}"/>
            </a:ext>
          </a:extLst>
        </xdr:cNvPr>
        <xdr:cNvSpPr txBox="1"/>
      </xdr:nvSpPr>
      <xdr:spPr>
        <a:xfrm>
          <a:off x="4210050" y="267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9355-B290-412F-9332-3ED428B54CB5}">
  <dimension ref="A1:BQ656"/>
  <sheetViews>
    <sheetView tabSelected="1" topLeftCell="A8" zoomScaleNormal="100" workbookViewId="0">
      <selection activeCell="P19" sqref="P19"/>
    </sheetView>
  </sheetViews>
  <sheetFormatPr defaultColWidth="11.42578125" defaultRowHeight="15" x14ac:dyDescent="0.25"/>
  <cols>
    <col min="2" max="2" width="17.7109375" customWidth="1"/>
    <col min="3" max="3" width="24.5703125" customWidth="1"/>
    <col min="4" max="4" width="11.5703125" style="4"/>
    <col min="5" max="5" width="14.7109375" customWidth="1"/>
    <col min="7" max="7" width="14.7109375" customWidth="1"/>
    <col min="8" max="69" width="11.42578125" style="58"/>
  </cols>
  <sheetData>
    <row r="1" spans="1:69" x14ac:dyDescent="0.25">
      <c r="B1" s="58"/>
      <c r="C1" s="58"/>
      <c r="D1" s="59"/>
      <c r="E1" s="58"/>
      <c r="F1" s="58"/>
      <c r="G1" s="58"/>
    </row>
    <row r="2" spans="1:69" s="5" customFormat="1" ht="18.75" x14ac:dyDescent="0.3">
      <c r="A2" s="51"/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</row>
    <row r="3" spans="1:69" x14ac:dyDescent="0.25">
      <c r="A3" s="52"/>
      <c r="B3" s="47" t="s">
        <v>6</v>
      </c>
      <c r="C3" s="48"/>
      <c r="D3" s="48"/>
      <c r="E3" s="48"/>
      <c r="F3" s="48"/>
      <c r="G3" s="48"/>
    </row>
    <row r="4" spans="1:69" s="9" customFormat="1" ht="30" customHeight="1" x14ac:dyDescent="0.25">
      <c r="A4" s="53"/>
      <c r="B4" s="14" t="s">
        <v>7</v>
      </c>
      <c r="C4" s="25" t="s">
        <v>8</v>
      </c>
      <c r="D4" s="14">
        <v>1</v>
      </c>
      <c r="E4" s="16">
        <v>1543.54</v>
      </c>
      <c r="F4" s="14" t="s">
        <v>9</v>
      </c>
      <c r="G4" s="17">
        <f>E4*20</f>
        <v>30870.799999999999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</row>
    <row r="5" spans="1:69" x14ac:dyDescent="0.25">
      <c r="A5" s="52"/>
      <c r="B5" s="49" t="s">
        <v>10</v>
      </c>
      <c r="C5" s="49"/>
      <c r="D5" s="49"/>
      <c r="E5" s="49"/>
      <c r="F5" s="49"/>
      <c r="G5" s="49"/>
    </row>
    <row r="6" spans="1:69" x14ac:dyDescent="0.25">
      <c r="A6" s="52"/>
      <c r="B6" s="38" t="s">
        <v>11</v>
      </c>
      <c r="C6" s="50"/>
      <c r="D6" s="50"/>
      <c r="E6" s="50"/>
      <c r="F6" s="50"/>
      <c r="G6" s="50"/>
    </row>
    <row r="7" spans="1:69" s="33" customFormat="1" ht="25.5" x14ac:dyDescent="0.25">
      <c r="A7" s="54"/>
      <c r="B7" s="15" t="s">
        <v>12</v>
      </c>
      <c r="C7" s="29" t="s">
        <v>13</v>
      </c>
      <c r="D7" s="14" t="s">
        <v>14</v>
      </c>
      <c r="E7" s="16">
        <v>25</v>
      </c>
      <c r="F7" s="14" t="s">
        <v>31</v>
      </c>
      <c r="G7" s="17">
        <f>E7*240</f>
        <v>6000</v>
      </c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</row>
    <row r="8" spans="1:69" s="10" customFormat="1" x14ac:dyDescent="0.25">
      <c r="A8" s="52"/>
      <c r="B8" s="38" t="s">
        <v>15</v>
      </c>
      <c r="C8" s="38"/>
      <c r="D8" s="38"/>
      <c r="E8" s="38"/>
      <c r="F8" s="38"/>
      <c r="G8" s="3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</row>
    <row r="9" spans="1:69" s="11" customFormat="1" x14ac:dyDescent="0.25">
      <c r="A9" s="55"/>
      <c r="B9" s="15" t="s">
        <v>16</v>
      </c>
      <c r="C9" s="25" t="s">
        <v>17</v>
      </c>
      <c r="D9" s="15" t="s">
        <v>18</v>
      </c>
      <c r="E9" s="18">
        <v>316.43</v>
      </c>
      <c r="F9" s="15" t="s">
        <v>19</v>
      </c>
      <c r="G9" s="19">
        <f>E9*80</f>
        <v>25314.400000000001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</row>
    <row r="10" spans="1:69" x14ac:dyDescent="0.25">
      <c r="A10" s="52"/>
      <c r="B10" s="67" t="s">
        <v>20</v>
      </c>
      <c r="C10" s="68"/>
      <c r="D10" s="68"/>
      <c r="E10" s="68"/>
      <c r="F10" s="68"/>
      <c r="G10" s="69"/>
    </row>
    <row r="11" spans="1:69" x14ac:dyDescent="0.25">
      <c r="A11" s="52"/>
      <c r="B11" s="38" t="s">
        <v>21</v>
      </c>
      <c r="C11" s="50"/>
      <c r="D11" s="50"/>
      <c r="E11" s="50"/>
      <c r="F11" s="50"/>
      <c r="G11" s="50"/>
    </row>
    <row r="12" spans="1:69" s="12" customFormat="1" ht="25.5" x14ac:dyDescent="0.25">
      <c r="A12" s="56"/>
      <c r="B12" s="15" t="s">
        <v>22</v>
      </c>
      <c r="C12" s="25" t="s">
        <v>23</v>
      </c>
      <c r="D12" s="15" t="s">
        <v>40</v>
      </c>
      <c r="E12" s="18">
        <v>539</v>
      </c>
      <c r="F12" s="15" t="s">
        <v>39</v>
      </c>
      <c r="G12" s="19">
        <f>E12*40</f>
        <v>21560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</row>
    <row r="13" spans="1:69" x14ac:dyDescent="0.25">
      <c r="A13" s="52"/>
      <c r="B13" s="38" t="s">
        <v>41</v>
      </c>
      <c r="C13" s="38"/>
      <c r="D13" s="38"/>
      <c r="E13" s="38"/>
      <c r="F13" s="38"/>
      <c r="G13" s="38"/>
    </row>
    <row r="14" spans="1:69" s="2" customFormat="1" ht="38.25" x14ac:dyDescent="0.25">
      <c r="A14" s="54"/>
      <c r="B14" s="15" t="s">
        <v>42</v>
      </c>
      <c r="C14" s="25" t="s">
        <v>43</v>
      </c>
      <c r="D14" s="14" t="s">
        <v>14</v>
      </c>
      <c r="E14" s="16">
        <v>98</v>
      </c>
      <c r="F14" s="14" t="s">
        <v>44</v>
      </c>
      <c r="G14" s="17">
        <f>E14*10</f>
        <v>980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</row>
    <row r="15" spans="1:69" x14ac:dyDescent="0.25">
      <c r="A15" s="52"/>
      <c r="B15" s="38" t="s">
        <v>45</v>
      </c>
      <c r="C15" s="38"/>
      <c r="D15" s="38"/>
      <c r="E15" s="38"/>
      <c r="F15" s="38"/>
      <c r="G15" s="38"/>
    </row>
    <row r="16" spans="1:69" s="3" customFormat="1" ht="25.5" x14ac:dyDescent="0.25">
      <c r="A16" s="53"/>
      <c r="B16" s="15" t="s">
        <v>46</v>
      </c>
      <c r="C16" s="15" t="s">
        <v>47</v>
      </c>
      <c r="D16" s="14" t="s">
        <v>14</v>
      </c>
      <c r="E16" s="16">
        <v>51.7</v>
      </c>
      <c r="F16" s="14" t="s">
        <v>48</v>
      </c>
      <c r="G16" s="17">
        <f>E16*20</f>
        <v>1034</v>
      </c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</row>
    <row r="17" spans="1:69" x14ac:dyDescent="0.25">
      <c r="A17" s="52"/>
      <c r="B17" s="39" t="s">
        <v>49</v>
      </c>
      <c r="C17" s="39"/>
      <c r="D17" s="39"/>
      <c r="E17" s="39"/>
      <c r="F17" s="39"/>
      <c r="G17" s="39"/>
    </row>
    <row r="18" spans="1:69" s="3" customFormat="1" ht="36" x14ac:dyDescent="0.25">
      <c r="A18" s="53"/>
      <c r="B18" s="25" t="s">
        <v>56</v>
      </c>
      <c r="C18" s="25" t="s">
        <v>90</v>
      </c>
      <c r="D18" s="29">
        <v>1</v>
      </c>
      <c r="E18" s="30">
        <v>4281</v>
      </c>
      <c r="F18" s="29" t="s">
        <v>70</v>
      </c>
      <c r="G18" s="17">
        <f>E18*2</f>
        <v>8562</v>
      </c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</row>
    <row r="19" spans="1:69" x14ac:dyDescent="0.25">
      <c r="A19" s="52"/>
      <c r="B19" s="40" t="s">
        <v>50</v>
      </c>
      <c r="C19" s="40"/>
      <c r="D19" s="40"/>
      <c r="E19" s="40"/>
      <c r="F19" s="40"/>
      <c r="G19" s="40"/>
    </row>
    <row r="20" spans="1:69" s="1" customFormat="1" ht="36" x14ac:dyDescent="0.25">
      <c r="A20" s="56"/>
      <c r="B20" s="25" t="s">
        <v>54</v>
      </c>
      <c r="C20" s="25" t="s">
        <v>55</v>
      </c>
      <c r="D20" s="25">
        <v>1</v>
      </c>
      <c r="E20" s="31">
        <v>21177.47</v>
      </c>
      <c r="F20" s="25" t="s">
        <v>70</v>
      </c>
      <c r="G20" s="19">
        <f>E20*2</f>
        <v>42354.94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</row>
    <row r="21" spans="1:69" x14ac:dyDescent="0.25">
      <c r="A21" s="52"/>
      <c r="B21" s="41" t="s">
        <v>52</v>
      </c>
      <c r="C21" s="41"/>
      <c r="D21" s="41"/>
      <c r="E21" s="41"/>
      <c r="F21" s="41"/>
      <c r="G21" s="41"/>
    </row>
    <row r="22" spans="1:69" s="32" customFormat="1" ht="60" x14ac:dyDescent="0.25">
      <c r="A22" s="57"/>
      <c r="B22" s="25" t="s">
        <v>57</v>
      </c>
      <c r="C22" s="25" t="s">
        <v>58</v>
      </c>
      <c r="D22" s="29">
        <v>1</v>
      </c>
      <c r="E22" s="30">
        <v>19629.21</v>
      </c>
      <c r="F22" s="29" t="s">
        <v>51</v>
      </c>
      <c r="G22" s="17">
        <f>E22*1</f>
        <v>19629.21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</row>
    <row r="23" spans="1:69" s="32" customFormat="1" ht="12" x14ac:dyDescent="0.25">
      <c r="A23" s="57"/>
      <c r="B23" s="57"/>
      <c r="C23" s="57"/>
      <c r="D23" s="57"/>
      <c r="E23" s="57"/>
      <c r="F23" s="57"/>
      <c r="G23" s="57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</row>
    <row r="24" spans="1:69" x14ac:dyDescent="0.25">
      <c r="A24" s="52"/>
      <c r="B24" s="41" t="s">
        <v>59</v>
      </c>
      <c r="C24" s="41"/>
      <c r="D24" s="41"/>
      <c r="E24" s="41"/>
      <c r="F24" s="41"/>
      <c r="G24" s="41"/>
    </row>
    <row r="25" spans="1:69" s="1" customFormat="1" ht="25.5" x14ac:dyDescent="0.25">
      <c r="A25" s="56"/>
      <c r="B25" s="15" t="s">
        <v>60</v>
      </c>
      <c r="C25" s="15" t="s">
        <v>61</v>
      </c>
      <c r="D25" s="15">
        <v>1</v>
      </c>
      <c r="E25" s="30">
        <v>20.77</v>
      </c>
      <c r="F25" s="29" t="s">
        <v>62</v>
      </c>
      <c r="G25" s="17">
        <f>E25*12</f>
        <v>249.24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</row>
    <row r="26" spans="1:69" s="1" customFormat="1" ht="25.5" x14ac:dyDescent="0.25">
      <c r="A26" s="56"/>
      <c r="B26" s="15" t="s">
        <v>63</v>
      </c>
      <c r="C26" s="15" t="s">
        <v>64</v>
      </c>
      <c r="D26" s="15">
        <v>1</v>
      </c>
      <c r="E26" s="30">
        <v>30</v>
      </c>
      <c r="F26" s="29" t="s">
        <v>65</v>
      </c>
      <c r="G26" s="17">
        <f>E26*75</f>
        <v>2250</v>
      </c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</row>
    <row r="27" spans="1:69" s="3" customFormat="1" x14ac:dyDescent="0.25">
      <c r="A27" s="53"/>
      <c r="B27" s="14" t="s">
        <v>60</v>
      </c>
      <c r="C27" s="14" t="s">
        <v>66</v>
      </c>
      <c r="D27" s="14">
        <v>1</v>
      </c>
      <c r="E27" s="30">
        <v>350</v>
      </c>
      <c r="F27" s="29" t="s">
        <v>53</v>
      </c>
      <c r="G27" s="17">
        <f>E27*4</f>
        <v>1400</v>
      </c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</row>
    <row r="28" spans="1:69" s="34" customFormat="1" ht="25.5" x14ac:dyDescent="0.25">
      <c r="A28" s="56"/>
      <c r="B28" s="15" t="s">
        <v>72</v>
      </c>
      <c r="C28" s="15" t="s">
        <v>73</v>
      </c>
      <c r="D28" s="15">
        <v>1</v>
      </c>
      <c r="E28" s="30">
        <v>1600</v>
      </c>
      <c r="F28" s="29" t="s">
        <v>70</v>
      </c>
      <c r="G28" s="17">
        <f>E28*2</f>
        <v>3200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</row>
    <row r="29" spans="1:69" x14ac:dyDescent="0.25">
      <c r="A29" s="52"/>
      <c r="B29" s="41" t="s">
        <v>67</v>
      </c>
      <c r="C29" s="41"/>
      <c r="D29" s="41"/>
      <c r="E29" s="41"/>
      <c r="F29" s="41"/>
      <c r="G29" s="41"/>
    </row>
    <row r="30" spans="1:69" ht="25.5" x14ac:dyDescent="0.25">
      <c r="A30" s="52"/>
      <c r="B30" s="15" t="s">
        <v>68</v>
      </c>
      <c r="C30" s="15" t="s">
        <v>69</v>
      </c>
      <c r="D30" s="15">
        <v>1</v>
      </c>
      <c r="E30" s="30">
        <v>6290</v>
      </c>
      <c r="F30" s="30" t="s">
        <v>70</v>
      </c>
      <c r="G30" s="19">
        <f>E30*2</f>
        <v>12580</v>
      </c>
    </row>
    <row r="31" spans="1:69" s="3" customFormat="1" ht="25.5" x14ac:dyDescent="0.25">
      <c r="A31" s="53"/>
      <c r="B31" s="15" t="s">
        <v>68</v>
      </c>
      <c r="C31" s="15" t="s">
        <v>71</v>
      </c>
      <c r="D31" s="15">
        <v>1</v>
      </c>
      <c r="E31" s="30">
        <v>2260</v>
      </c>
      <c r="F31" s="30" t="s">
        <v>70</v>
      </c>
      <c r="G31" s="19">
        <f>E31*2</f>
        <v>4520</v>
      </c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</row>
    <row r="32" spans="1:69" s="2" customFormat="1" x14ac:dyDescent="0.25">
      <c r="A32" s="54"/>
      <c r="B32" s="65" t="s">
        <v>77</v>
      </c>
      <c r="C32" s="42"/>
      <c r="D32" s="42"/>
      <c r="E32" s="42"/>
      <c r="F32" s="42"/>
      <c r="G32" s="66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</row>
    <row r="33" spans="1:69" ht="25.5" x14ac:dyDescent="0.25">
      <c r="A33" s="52"/>
      <c r="B33" s="15" t="s">
        <v>74</v>
      </c>
      <c r="C33" s="15" t="s">
        <v>75</v>
      </c>
      <c r="D33" s="14">
        <v>1</v>
      </c>
      <c r="E33" s="30">
        <v>26.61</v>
      </c>
      <c r="F33" s="30" t="s">
        <v>44</v>
      </c>
      <c r="G33" s="19">
        <f>E33*10</f>
        <v>266.10000000000002</v>
      </c>
    </row>
    <row r="34" spans="1:69" ht="25.5" x14ac:dyDescent="0.25">
      <c r="A34" s="52"/>
      <c r="B34" s="15" t="s">
        <v>76</v>
      </c>
      <c r="C34" s="15" t="s">
        <v>78</v>
      </c>
      <c r="D34" s="14">
        <v>1</v>
      </c>
      <c r="E34" s="30">
        <v>4573.88</v>
      </c>
      <c r="F34" s="30" t="s">
        <v>51</v>
      </c>
      <c r="G34" s="19">
        <f>E34</f>
        <v>4573.88</v>
      </c>
    </row>
    <row r="35" spans="1:69" ht="38.25" x14ac:dyDescent="0.25">
      <c r="A35" s="52"/>
      <c r="B35" s="15" t="s">
        <v>79</v>
      </c>
      <c r="C35" s="15" t="s">
        <v>80</v>
      </c>
      <c r="D35" s="14">
        <v>1</v>
      </c>
      <c r="E35" s="30">
        <v>125</v>
      </c>
      <c r="F35" s="30" t="s">
        <v>51</v>
      </c>
      <c r="G35" s="19">
        <f>E35</f>
        <v>125</v>
      </c>
    </row>
    <row r="36" spans="1:69" x14ac:dyDescent="0.25">
      <c r="A36" s="52"/>
      <c r="B36" s="15" t="s">
        <v>81</v>
      </c>
      <c r="C36" s="15" t="s">
        <v>82</v>
      </c>
      <c r="D36" s="14">
        <v>1</v>
      </c>
      <c r="E36" s="30">
        <v>60</v>
      </c>
      <c r="F36" s="30" t="s">
        <v>83</v>
      </c>
      <c r="G36" s="19">
        <f>E36*16</f>
        <v>960</v>
      </c>
    </row>
    <row r="37" spans="1:69" ht="25.5" x14ac:dyDescent="0.25">
      <c r="A37" s="52"/>
      <c r="B37" s="15" t="s">
        <v>81</v>
      </c>
      <c r="C37" s="15" t="s">
        <v>84</v>
      </c>
      <c r="D37" s="14">
        <v>1</v>
      </c>
      <c r="E37" s="30">
        <v>111</v>
      </c>
      <c r="F37" s="30" t="s">
        <v>85</v>
      </c>
      <c r="G37" s="19">
        <f>E37*7</f>
        <v>777</v>
      </c>
    </row>
    <row r="38" spans="1:69" ht="25.5" x14ac:dyDescent="0.25">
      <c r="A38" s="52"/>
      <c r="B38" s="15" t="s">
        <v>81</v>
      </c>
      <c r="C38" s="15" t="s">
        <v>86</v>
      </c>
      <c r="D38" s="14">
        <v>1</v>
      </c>
      <c r="E38" s="30">
        <v>60</v>
      </c>
      <c r="F38" s="30" t="s">
        <v>44</v>
      </c>
      <c r="G38" s="19">
        <f>E38*10</f>
        <v>600</v>
      </c>
    </row>
    <row r="39" spans="1:69" ht="25.5" x14ac:dyDescent="0.25">
      <c r="A39" s="52"/>
      <c r="B39" s="15" t="s">
        <v>81</v>
      </c>
      <c r="C39" s="15" t="s">
        <v>87</v>
      </c>
      <c r="D39" s="14">
        <v>1</v>
      </c>
      <c r="E39" s="30">
        <v>20</v>
      </c>
      <c r="F39" s="30" t="s">
        <v>88</v>
      </c>
      <c r="G39" s="19">
        <f>E39*6</f>
        <v>120</v>
      </c>
    </row>
    <row r="40" spans="1:69" x14ac:dyDescent="0.25">
      <c r="A40" s="52"/>
      <c r="B40" s="15" t="s">
        <v>81</v>
      </c>
      <c r="C40" s="15" t="s">
        <v>89</v>
      </c>
      <c r="D40" s="14">
        <v>1</v>
      </c>
      <c r="E40" s="30">
        <v>8</v>
      </c>
      <c r="F40" s="30" t="s">
        <v>48</v>
      </c>
      <c r="G40" s="19">
        <f>E40*20</f>
        <v>160</v>
      </c>
    </row>
    <row r="41" spans="1:69" s="2" customFormat="1" x14ac:dyDescent="0.25">
      <c r="A41" s="54"/>
      <c r="B41" s="65" t="s">
        <v>91</v>
      </c>
      <c r="C41" s="42"/>
      <c r="D41" s="42"/>
      <c r="E41" s="42"/>
      <c r="F41" s="42"/>
      <c r="G41" s="66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</row>
    <row r="42" spans="1:69" s="2" customFormat="1" ht="25.5" x14ac:dyDescent="0.25">
      <c r="A42" s="54"/>
      <c r="B42" s="15" t="s">
        <v>92</v>
      </c>
      <c r="C42" s="15" t="s">
        <v>93</v>
      </c>
      <c r="D42" s="15">
        <v>1</v>
      </c>
      <c r="E42" s="35">
        <v>20000</v>
      </c>
      <c r="F42" s="15">
        <v>1</v>
      </c>
      <c r="G42" s="70">
        <f>E42</f>
        <v>20000</v>
      </c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</row>
    <row r="43" spans="1:69" x14ac:dyDescent="0.25">
      <c r="A43" s="52"/>
      <c r="B43" s="43" t="s">
        <v>24</v>
      </c>
      <c r="C43" s="43"/>
      <c r="D43" s="44"/>
      <c r="E43" s="45"/>
      <c r="F43" s="46"/>
      <c r="G43" s="24">
        <f>SUM(G4+G9+G12+G14+G16+G18+G20+G22+G25+G26+G27+G30+G31+G28+G33+G34+G35+G36+G37+G38+G39+G40+G7+G42)</f>
        <v>208086.57</v>
      </c>
    </row>
    <row r="44" spans="1:69" s="58" customFormat="1" ht="40.5" customHeight="1" x14ac:dyDescent="0.25">
      <c r="A44" s="52"/>
      <c r="B44" s="71" t="s">
        <v>94</v>
      </c>
      <c r="C44" s="72"/>
      <c r="D44" s="72"/>
      <c r="E44" s="72"/>
      <c r="F44" s="72"/>
      <c r="G44" s="73"/>
    </row>
    <row r="45" spans="1:69" s="58" customFormat="1" x14ac:dyDescent="0.25">
      <c r="A45" s="52"/>
      <c r="D45" s="59"/>
    </row>
    <row r="46" spans="1:69" x14ac:dyDescent="0.25">
      <c r="A46" s="52"/>
      <c r="B46" s="41" t="s">
        <v>25</v>
      </c>
      <c r="C46" s="41"/>
      <c r="D46" s="41"/>
      <c r="E46" s="41"/>
      <c r="F46" s="41"/>
      <c r="G46" s="41"/>
    </row>
    <row r="47" spans="1:69" ht="45" x14ac:dyDescent="0.25">
      <c r="A47" s="52"/>
      <c r="B47" s="7" t="s">
        <v>26</v>
      </c>
      <c r="C47" s="7" t="s">
        <v>27</v>
      </c>
      <c r="D47" s="7" t="s">
        <v>28</v>
      </c>
      <c r="E47" s="8">
        <v>300</v>
      </c>
      <c r="F47" s="6" t="s">
        <v>29</v>
      </c>
      <c r="G47" s="26">
        <v>97651</v>
      </c>
    </row>
    <row r="48" spans="1:69" ht="15.75" x14ac:dyDescent="0.25">
      <c r="A48" s="52"/>
      <c r="B48" s="20" t="s">
        <v>32</v>
      </c>
      <c r="C48" s="21"/>
      <c r="D48" s="22"/>
      <c r="E48" s="22"/>
      <c r="F48" s="22"/>
      <c r="G48" s="23">
        <f>G43+G47</f>
        <v>305737.57</v>
      </c>
    </row>
    <row r="49" spans="1:7" s="58" customFormat="1" x14ac:dyDescent="0.25">
      <c r="A49" s="52"/>
      <c r="D49" s="59"/>
    </row>
    <row r="50" spans="1:7" ht="15.75" x14ac:dyDescent="0.25">
      <c r="A50" s="52"/>
      <c r="B50" s="37" t="s">
        <v>30</v>
      </c>
      <c r="C50" s="37"/>
      <c r="D50" s="37"/>
      <c r="E50" s="37"/>
      <c r="F50" s="37"/>
      <c r="G50" s="37"/>
    </row>
    <row r="51" spans="1:7" ht="30" x14ac:dyDescent="0.25">
      <c r="A51" s="52"/>
      <c r="B51" s="7" t="s">
        <v>33</v>
      </c>
      <c r="C51" s="7" t="s">
        <v>35</v>
      </c>
      <c r="D51" s="7" t="s">
        <v>28</v>
      </c>
      <c r="E51" s="27">
        <v>300</v>
      </c>
      <c r="F51" s="7" t="s">
        <v>9</v>
      </c>
      <c r="G51" s="28">
        <v>97651</v>
      </c>
    </row>
    <row r="52" spans="1:7" ht="30" x14ac:dyDescent="0.25">
      <c r="A52" s="52"/>
      <c r="B52" s="7" t="s">
        <v>34</v>
      </c>
      <c r="C52" s="7" t="s">
        <v>36</v>
      </c>
      <c r="D52" s="7" t="s">
        <v>37</v>
      </c>
      <c r="E52" s="27">
        <v>300</v>
      </c>
      <c r="F52" s="7" t="s">
        <v>38</v>
      </c>
      <c r="G52" s="28">
        <v>34810.239999999998</v>
      </c>
    </row>
    <row r="53" spans="1:7" x14ac:dyDescent="0.25">
      <c r="A53" s="52"/>
      <c r="B53" s="20" t="s">
        <v>32</v>
      </c>
      <c r="C53" s="20"/>
      <c r="D53" s="21"/>
      <c r="E53" s="21"/>
      <c r="F53" s="21"/>
      <c r="G53" s="36">
        <f>SUM(G51+G52+G43)</f>
        <v>340547.81</v>
      </c>
    </row>
    <row r="54" spans="1:7" s="58" customFormat="1" x14ac:dyDescent="0.25">
      <c r="A54" s="52"/>
      <c r="D54" s="59"/>
    </row>
    <row r="55" spans="1:7" s="58" customFormat="1" x14ac:dyDescent="0.25">
      <c r="D55" s="59"/>
    </row>
    <row r="56" spans="1:7" s="58" customFormat="1" x14ac:dyDescent="0.25">
      <c r="D56" s="59"/>
    </row>
    <row r="57" spans="1:7" s="58" customFormat="1" x14ac:dyDescent="0.25">
      <c r="D57" s="59"/>
    </row>
    <row r="58" spans="1:7" s="58" customFormat="1" x14ac:dyDescent="0.25">
      <c r="D58" s="59"/>
    </row>
    <row r="59" spans="1:7" s="58" customFormat="1" x14ac:dyDescent="0.25">
      <c r="D59" s="59"/>
    </row>
    <row r="60" spans="1:7" s="58" customFormat="1" x14ac:dyDescent="0.25">
      <c r="D60" s="59"/>
    </row>
    <row r="61" spans="1:7" s="58" customFormat="1" x14ac:dyDescent="0.25">
      <c r="D61" s="59"/>
    </row>
    <row r="62" spans="1:7" s="58" customFormat="1" x14ac:dyDescent="0.25">
      <c r="D62" s="59"/>
    </row>
    <row r="63" spans="1:7" s="58" customFormat="1" x14ac:dyDescent="0.25">
      <c r="D63" s="59"/>
    </row>
    <row r="64" spans="1:7" s="58" customFormat="1" x14ac:dyDescent="0.25">
      <c r="D64" s="59"/>
    </row>
    <row r="65" spans="4:4" s="58" customFormat="1" x14ac:dyDescent="0.25">
      <c r="D65" s="59"/>
    </row>
    <row r="66" spans="4:4" s="58" customFormat="1" x14ac:dyDescent="0.25">
      <c r="D66" s="59"/>
    </row>
    <row r="67" spans="4:4" s="58" customFormat="1" x14ac:dyDescent="0.25">
      <c r="D67" s="59"/>
    </row>
    <row r="68" spans="4:4" s="58" customFormat="1" x14ac:dyDescent="0.25">
      <c r="D68" s="59"/>
    </row>
    <row r="69" spans="4:4" s="58" customFormat="1" x14ac:dyDescent="0.25">
      <c r="D69" s="59"/>
    </row>
    <row r="70" spans="4:4" s="58" customFormat="1" x14ac:dyDescent="0.25">
      <c r="D70" s="59"/>
    </row>
    <row r="71" spans="4:4" s="58" customFormat="1" x14ac:dyDescent="0.25">
      <c r="D71" s="59"/>
    </row>
    <row r="72" spans="4:4" s="58" customFormat="1" x14ac:dyDescent="0.25">
      <c r="D72" s="59"/>
    </row>
    <row r="73" spans="4:4" s="58" customFormat="1" x14ac:dyDescent="0.25">
      <c r="D73" s="59"/>
    </row>
    <row r="74" spans="4:4" s="58" customFormat="1" x14ac:dyDescent="0.25">
      <c r="D74" s="59"/>
    </row>
    <row r="75" spans="4:4" s="58" customFormat="1" x14ac:dyDescent="0.25">
      <c r="D75" s="59"/>
    </row>
    <row r="76" spans="4:4" s="58" customFormat="1" x14ac:dyDescent="0.25">
      <c r="D76" s="59"/>
    </row>
    <row r="77" spans="4:4" s="58" customFormat="1" x14ac:dyDescent="0.25">
      <c r="D77" s="59"/>
    </row>
    <row r="78" spans="4:4" s="58" customFormat="1" x14ac:dyDescent="0.25">
      <c r="D78" s="59"/>
    </row>
    <row r="79" spans="4:4" s="58" customFormat="1" x14ac:dyDescent="0.25">
      <c r="D79" s="59"/>
    </row>
    <row r="80" spans="4:4" s="58" customFormat="1" x14ac:dyDescent="0.25">
      <c r="D80" s="59"/>
    </row>
    <row r="81" spans="4:4" s="58" customFormat="1" x14ac:dyDescent="0.25">
      <c r="D81" s="59"/>
    </row>
    <row r="82" spans="4:4" s="58" customFormat="1" x14ac:dyDescent="0.25">
      <c r="D82" s="59"/>
    </row>
    <row r="83" spans="4:4" s="58" customFormat="1" x14ac:dyDescent="0.25">
      <c r="D83" s="59"/>
    </row>
    <row r="84" spans="4:4" s="58" customFormat="1" x14ac:dyDescent="0.25">
      <c r="D84" s="59"/>
    </row>
    <row r="85" spans="4:4" s="58" customFormat="1" x14ac:dyDescent="0.25">
      <c r="D85" s="59"/>
    </row>
    <row r="86" spans="4:4" s="58" customFormat="1" x14ac:dyDescent="0.25">
      <c r="D86" s="59"/>
    </row>
    <row r="87" spans="4:4" s="58" customFormat="1" x14ac:dyDescent="0.25">
      <c r="D87" s="59"/>
    </row>
    <row r="88" spans="4:4" s="58" customFormat="1" x14ac:dyDescent="0.25">
      <c r="D88" s="59"/>
    </row>
    <row r="89" spans="4:4" s="58" customFormat="1" x14ac:dyDescent="0.25">
      <c r="D89" s="59"/>
    </row>
    <row r="90" spans="4:4" s="58" customFormat="1" x14ac:dyDescent="0.25">
      <c r="D90" s="59"/>
    </row>
    <row r="91" spans="4:4" s="58" customFormat="1" x14ac:dyDescent="0.25">
      <c r="D91" s="59"/>
    </row>
    <row r="92" spans="4:4" s="58" customFormat="1" x14ac:dyDescent="0.25">
      <c r="D92" s="59"/>
    </row>
    <row r="93" spans="4:4" s="58" customFormat="1" x14ac:dyDescent="0.25">
      <c r="D93" s="59"/>
    </row>
    <row r="94" spans="4:4" s="58" customFormat="1" x14ac:dyDescent="0.25">
      <c r="D94" s="59"/>
    </row>
    <row r="95" spans="4:4" s="58" customFormat="1" x14ac:dyDescent="0.25">
      <c r="D95" s="59"/>
    </row>
    <row r="96" spans="4:4" s="58" customFormat="1" x14ac:dyDescent="0.25">
      <c r="D96" s="59"/>
    </row>
    <row r="97" spans="4:4" s="58" customFormat="1" x14ac:dyDescent="0.25">
      <c r="D97" s="59"/>
    </row>
    <row r="98" spans="4:4" s="58" customFormat="1" x14ac:dyDescent="0.25">
      <c r="D98" s="59"/>
    </row>
    <row r="99" spans="4:4" s="58" customFormat="1" x14ac:dyDescent="0.25">
      <c r="D99" s="59"/>
    </row>
    <row r="100" spans="4:4" s="58" customFormat="1" x14ac:dyDescent="0.25">
      <c r="D100" s="59"/>
    </row>
    <row r="101" spans="4:4" s="58" customFormat="1" x14ac:dyDescent="0.25">
      <c r="D101" s="59"/>
    </row>
    <row r="102" spans="4:4" s="58" customFormat="1" x14ac:dyDescent="0.25">
      <c r="D102" s="59"/>
    </row>
    <row r="103" spans="4:4" s="58" customFormat="1" x14ac:dyDescent="0.25">
      <c r="D103" s="59"/>
    </row>
    <row r="104" spans="4:4" s="58" customFormat="1" x14ac:dyDescent="0.25">
      <c r="D104" s="59"/>
    </row>
    <row r="105" spans="4:4" s="58" customFormat="1" x14ac:dyDescent="0.25">
      <c r="D105" s="59"/>
    </row>
    <row r="106" spans="4:4" s="58" customFormat="1" x14ac:dyDescent="0.25">
      <c r="D106" s="59"/>
    </row>
    <row r="107" spans="4:4" s="58" customFormat="1" x14ac:dyDescent="0.25">
      <c r="D107" s="59"/>
    </row>
    <row r="108" spans="4:4" s="58" customFormat="1" x14ac:dyDescent="0.25">
      <c r="D108" s="59"/>
    </row>
    <row r="109" spans="4:4" s="58" customFormat="1" x14ac:dyDescent="0.25">
      <c r="D109" s="59"/>
    </row>
    <row r="110" spans="4:4" s="58" customFormat="1" x14ac:dyDescent="0.25">
      <c r="D110" s="59"/>
    </row>
    <row r="111" spans="4:4" s="58" customFormat="1" x14ac:dyDescent="0.25">
      <c r="D111" s="59"/>
    </row>
    <row r="112" spans="4:4" s="58" customFormat="1" x14ac:dyDescent="0.25">
      <c r="D112" s="59"/>
    </row>
    <row r="113" spans="4:4" s="58" customFormat="1" x14ac:dyDescent="0.25">
      <c r="D113" s="59"/>
    </row>
    <row r="114" spans="4:4" s="58" customFormat="1" x14ac:dyDescent="0.25">
      <c r="D114" s="59"/>
    </row>
    <row r="115" spans="4:4" s="58" customFormat="1" x14ac:dyDescent="0.25">
      <c r="D115" s="59"/>
    </row>
    <row r="116" spans="4:4" s="58" customFormat="1" x14ac:dyDescent="0.25">
      <c r="D116" s="59"/>
    </row>
    <row r="117" spans="4:4" s="58" customFormat="1" x14ac:dyDescent="0.25">
      <c r="D117" s="59"/>
    </row>
    <row r="118" spans="4:4" s="58" customFormat="1" x14ac:dyDescent="0.25">
      <c r="D118" s="59"/>
    </row>
    <row r="119" spans="4:4" s="58" customFormat="1" x14ac:dyDescent="0.25">
      <c r="D119" s="59"/>
    </row>
    <row r="120" spans="4:4" s="58" customFormat="1" x14ac:dyDescent="0.25">
      <c r="D120" s="59"/>
    </row>
    <row r="121" spans="4:4" s="58" customFormat="1" x14ac:dyDescent="0.25">
      <c r="D121" s="59"/>
    </row>
    <row r="122" spans="4:4" s="58" customFormat="1" x14ac:dyDescent="0.25">
      <c r="D122" s="59"/>
    </row>
    <row r="123" spans="4:4" s="58" customFormat="1" x14ac:dyDescent="0.25">
      <c r="D123" s="59"/>
    </row>
    <row r="124" spans="4:4" s="58" customFormat="1" x14ac:dyDescent="0.25">
      <c r="D124" s="59"/>
    </row>
    <row r="125" spans="4:4" s="58" customFormat="1" x14ac:dyDescent="0.25">
      <c r="D125" s="59"/>
    </row>
    <row r="126" spans="4:4" s="58" customFormat="1" x14ac:dyDescent="0.25">
      <c r="D126" s="59"/>
    </row>
    <row r="127" spans="4:4" s="58" customFormat="1" x14ac:dyDescent="0.25">
      <c r="D127" s="59"/>
    </row>
    <row r="128" spans="4:4" s="58" customFormat="1" x14ac:dyDescent="0.25">
      <c r="D128" s="59"/>
    </row>
    <row r="129" spans="4:4" s="58" customFormat="1" x14ac:dyDescent="0.25">
      <c r="D129" s="59"/>
    </row>
    <row r="130" spans="4:4" s="58" customFormat="1" x14ac:dyDescent="0.25">
      <c r="D130" s="59"/>
    </row>
    <row r="131" spans="4:4" s="58" customFormat="1" x14ac:dyDescent="0.25">
      <c r="D131" s="59"/>
    </row>
    <row r="132" spans="4:4" s="58" customFormat="1" x14ac:dyDescent="0.25">
      <c r="D132" s="59"/>
    </row>
    <row r="133" spans="4:4" s="58" customFormat="1" x14ac:dyDescent="0.25">
      <c r="D133" s="59"/>
    </row>
    <row r="134" spans="4:4" s="58" customFormat="1" x14ac:dyDescent="0.25">
      <c r="D134" s="59"/>
    </row>
    <row r="135" spans="4:4" s="58" customFormat="1" x14ac:dyDescent="0.25">
      <c r="D135" s="59"/>
    </row>
    <row r="136" spans="4:4" s="58" customFormat="1" x14ac:dyDescent="0.25">
      <c r="D136" s="59"/>
    </row>
    <row r="137" spans="4:4" s="58" customFormat="1" x14ac:dyDescent="0.25">
      <c r="D137" s="59"/>
    </row>
    <row r="138" spans="4:4" s="58" customFormat="1" x14ac:dyDescent="0.25">
      <c r="D138" s="59"/>
    </row>
    <row r="139" spans="4:4" s="58" customFormat="1" x14ac:dyDescent="0.25">
      <c r="D139" s="59"/>
    </row>
    <row r="140" spans="4:4" s="58" customFormat="1" x14ac:dyDescent="0.25">
      <c r="D140" s="59"/>
    </row>
    <row r="141" spans="4:4" s="58" customFormat="1" x14ac:dyDescent="0.25">
      <c r="D141" s="59"/>
    </row>
    <row r="142" spans="4:4" s="58" customFormat="1" x14ac:dyDescent="0.25">
      <c r="D142" s="59"/>
    </row>
    <row r="143" spans="4:4" s="58" customFormat="1" x14ac:dyDescent="0.25">
      <c r="D143" s="59"/>
    </row>
    <row r="144" spans="4:4" s="58" customFormat="1" x14ac:dyDescent="0.25">
      <c r="D144" s="59"/>
    </row>
    <row r="145" spans="4:4" s="58" customFormat="1" x14ac:dyDescent="0.25">
      <c r="D145" s="59"/>
    </row>
    <row r="146" spans="4:4" s="58" customFormat="1" x14ac:dyDescent="0.25">
      <c r="D146" s="59"/>
    </row>
    <row r="147" spans="4:4" s="58" customFormat="1" x14ac:dyDescent="0.25">
      <c r="D147" s="59"/>
    </row>
    <row r="148" spans="4:4" s="58" customFormat="1" x14ac:dyDescent="0.25">
      <c r="D148" s="59"/>
    </row>
    <row r="149" spans="4:4" s="58" customFormat="1" x14ac:dyDescent="0.25">
      <c r="D149" s="59"/>
    </row>
    <row r="150" spans="4:4" s="58" customFormat="1" x14ac:dyDescent="0.25">
      <c r="D150" s="59"/>
    </row>
    <row r="151" spans="4:4" s="58" customFormat="1" x14ac:dyDescent="0.25">
      <c r="D151" s="59"/>
    </row>
    <row r="152" spans="4:4" s="58" customFormat="1" x14ac:dyDescent="0.25">
      <c r="D152" s="59"/>
    </row>
    <row r="153" spans="4:4" s="58" customFormat="1" x14ac:dyDescent="0.25">
      <c r="D153" s="59"/>
    </row>
    <row r="154" spans="4:4" s="58" customFormat="1" x14ac:dyDescent="0.25">
      <c r="D154" s="59"/>
    </row>
    <row r="155" spans="4:4" s="58" customFormat="1" x14ac:dyDescent="0.25">
      <c r="D155" s="59"/>
    </row>
    <row r="156" spans="4:4" s="58" customFormat="1" x14ac:dyDescent="0.25">
      <c r="D156" s="59"/>
    </row>
    <row r="157" spans="4:4" s="58" customFormat="1" x14ac:dyDescent="0.25">
      <c r="D157" s="59"/>
    </row>
    <row r="158" spans="4:4" s="58" customFormat="1" x14ac:dyDescent="0.25">
      <c r="D158" s="59"/>
    </row>
    <row r="159" spans="4:4" s="58" customFormat="1" x14ac:dyDescent="0.25">
      <c r="D159" s="59"/>
    </row>
    <row r="160" spans="4:4" s="58" customFormat="1" x14ac:dyDescent="0.25">
      <c r="D160" s="59"/>
    </row>
    <row r="161" spans="4:4" s="58" customFormat="1" x14ac:dyDescent="0.25">
      <c r="D161" s="59"/>
    </row>
    <row r="162" spans="4:4" s="58" customFormat="1" x14ac:dyDescent="0.25">
      <c r="D162" s="59"/>
    </row>
    <row r="163" spans="4:4" s="58" customFormat="1" x14ac:dyDescent="0.25">
      <c r="D163" s="59"/>
    </row>
    <row r="164" spans="4:4" s="58" customFormat="1" x14ac:dyDescent="0.25">
      <c r="D164" s="59"/>
    </row>
    <row r="165" spans="4:4" s="58" customFormat="1" x14ac:dyDescent="0.25">
      <c r="D165" s="59"/>
    </row>
    <row r="166" spans="4:4" s="58" customFormat="1" x14ac:dyDescent="0.25">
      <c r="D166" s="59"/>
    </row>
    <row r="167" spans="4:4" s="58" customFormat="1" x14ac:dyDescent="0.25">
      <c r="D167" s="59"/>
    </row>
    <row r="168" spans="4:4" s="58" customFormat="1" x14ac:dyDescent="0.25">
      <c r="D168" s="59"/>
    </row>
    <row r="169" spans="4:4" s="58" customFormat="1" x14ac:dyDescent="0.25">
      <c r="D169" s="59"/>
    </row>
    <row r="170" spans="4:4" s="58" customFormat="1" x14ac:dyDescent="0.25">
      <c r="D170" s="59"/>
    </row>
    <row r="171" spans="4:4" s="58" customFormat="1" x14ac:dyDescent="0.25">
      <c r="D171" s="59"/>
    </row>
    <row r="172" spans="4:4" s="58" customFormat="1" x14ac:dyDescent="0.25">
      <c r="D172" s="59"/>
    </row>
    <row r="173" spans="4:4" s="58" customFormat="1" x14ac:dyDescent="0.25">
      <c r="D173" s="59"/>
    </row>
    <row r="174" spans="4:4" s="58" customFormat="1" x14ac:dyDescent="0.25">
      <c r="D174" s="59"/>
    </row>
    <row r="175" spans="4:4" s="58" customFormat="1" x14ac:dyDescent="0.25">
      <c r="D175" s="59"/>
    </row>
    <row r="176" spans="4:4" s="58" customFormat="1" x14ac:dyDescent="0.25">
      <c r="D176" s="59"/>
    </row>
    <row r="177" spans="4:4" s="58" customFormat="1" x14ac:dyDescent="0.25">
      <c r="D177" s="59"/>
    </row>
    <row r="178" spans="4:4" s="58" customFormat="1" x14ac:dyDescent="0.25">
      <c r="D178" s="59"/>
    </row>
    <row r="179" spans="4:4" s="58" customFormat="1" x14ac:dyDescent="0.25">
      <c r="D179" s="59"/>
    </row>
    <row r="180" spans="4:4" s="58" customFormat="1" x14ac:dyDescent="0.25">
      <c r="D180" s="59"/>
    </row>
    <row r="181" spans="4:4" s="58" customFormat="1" x14ac:dyDescent="0.25">
      <c r="D181" s="59"/>
    </row>
    <row r="182" spans="4:4" s="58" customFormat="1" x14ac:dyDescent="0.25">
      <c r="D182" s="59"/>
    </row>
    <row r="183" spans="4:4" s="58" customFormat="1" x14ac:dyDescent="0.25">
      <c r="D183" s="59"/>
    </row>
    <row r="184" spans="4:4" s="58" customFormat="1" x14ac:dyDescent="0.25">
      <c r="D184" s="59"/>
    </row>
    <row r="185" spans="4:4" s="58" customFormat="1" x14ac:dyDescent="0.25">
      <c r="D185" s="59"/>
    </row>
    <row r="186" spans="4:4" s="58" customFormat="1" x14ac:dyDescent="0.25">
      <c r="D186" s="59"/>
    </row>
    <row r="187" spans="4:4" s="58" customFormat="1" x14ac:dyDescent="0.25">
      <c r="D187" s="59"/>
    </row>
    <row r="188" spans="4:4" s="58" customFormat="1" x14ac:dyDescent="0.25">
      <c r="D188" s="59"/>
    </row>
    <row r="189" spans="4:4" s="58" customFormat="1" x14ac:dyDescent="0.25">
      <c r="D189" s="59"/>
    </row>
    <row r="190" spans="4:4" s="58" customFormat="1" x14ac:dyDescent="0.25">
      <c r="D190" s="59"/>
    </row>
    <row r="191" spans="4:4" s="58" customFormat="1" x14ac:dyDescent="0.25">
      <c r="D191" s="59"/>
    </row>
    <row r="192" spans="4:4" s="58" customFormat="1" x14ac:dyDescent="0.25">
      <c r="D192" s="59"/>
    </row>
    <row r="193" spans="4:4" s="58" customFormat="1" x14ac:dyDescent="0.25">
      <c r="D193" s="59"/>
    </row>
    <row r="194" spans="4:4" s="58" customFormat="1" x14ac:dyDescent="0.25">
      <c r="D194" s="59"/>
    </row>
    <row r="195" spans="4:4" s="58" customFormat="1" x14ac:dyDescent="0.25">
      <c r="D195" s="59"/>
    </row>
    <row r="196" spans="4:4" s="58" customFormat="1" x14ac:dyDescent="0.25">
      <c r="D196" s="59"/>
    </row>
    <row r="197" spans="4:4" s="58" customFormat="1" x14ac:dyDescent="0.25">
      <c r="D197" s="59"/>
    </row>
    <row r="198" spans="4:4" s="58" customFormat="1" x14ac:dyDescent="0.25">
      <c r="D198" s="59"/>
    </row>
    <row r="199" spans="4:4" s="58" customFormat="1" x14ac:dyDescent="0.25">
      <c r="D199" s="59"/>
    </row>
    <row r="200" spans="4:4" s="58" customFormat="1" x14ac:dyDescent="0.25">
      <c r="D200" s="59"/>
    </row>
    <row r="201" spans="4:4" s="58" customFormat="1" x14ac:dyDescent="0.25">
      <c r="D201" s="59"/>
    </row>
    <row r="202" spans="4:4" s="58" customFormat="1" x14ac:dyDescent="0.25">
      <c r="D202" s="59"/>
    </row>
    <row r="203" spans="4:4" s="58" customFormat="1" x14ac:dyDescent="0.25">
      <c r="D203" s="59"/>
    </row>
    <row r="204" spans="4:4" s="58" customFormat="1" x14ac:dyDescent="0.25">
      <c r="D204" s="59"/>
    </row>
    <row r="205" spans="4:4" s="58" customFormat="1" x14ac:dyDescent="0.25">
      <c r="D205" s="59"/>
    </row>
    <row r="206" spans="4:4" s="58" customFormat="1" x14ac:dyDescent="0.25">
      <c r="D206" s="59"/>
    </row>
    <row r="207" spans="4:4" s="58" customFormat="1" x14ac:dyDescent="0.25">
      <c r="D207" s="59"/>
    </row>
    <row r="208" spans="4:4" s="58" customFormat="1" x14ac:dyDescent="0.25">
      <c r="D208" s="59"/>
    </row>
    <row r="209" spans="4:4" s="58" customFormat="1" x14ac:dyDescent="0.25">
      <c r="D209" s="59"/>
    </row>
    <row r="210" spans="4:4" s="58" customFormat="1" x14ac:dyDescent="0.25">
      <c r="D210" s="59"/>
    </row>
    <row r="211" spans="4:4" s="58" customFormat="1" x14ac:dyDescent="0.25">
      <c r="D211" s="59"/>
    </row>
    <row r="212" spans="4:4" s="58" customFormat="1" x14ac:dyDescent="0.25">
      <c r="D212" s="59"/>
    </row>
    <row r="213" spans="4:4" s="58" customFormat="1" x14ac:dyDescent="0.25">
      <c r="D213" s="59"/>
    </row>
    <row r="214" spans="4:4" s="58" customFormat="1" x14ac:dyDescent="0.25">
      <c r="D214" s="59"/>
    </row>
    <row r="215" spans="4:4" s="58" customFormat="1" x14ac:dyDescent="0.25">
      <c r="D215" s="59"/>
    </row>
    <row r="216" spans="4:4" s="58" customFormat="1" x14ac:dyDescent="0.25">
      <c r="D216" s="59"/>
    </row>
    <row r="217" spans="4:4" s="58" customFormat="1" x14ac:dyDescent="0.25">
      <c r="D217" s="59"/>
    </row>
    <row r="218" spans="4:4" s="58" customFormat="1" x14ac:dyDescent="0.25">
      <c r="D218" s="59"/>
    </row>
    <row r="219" spans="4:4" s="58" customFormat="1" x14ac:dyDescent="0.25">
      <c r="D219" s="59"/>
    </row>
    <row r="220" spans="4:4" s="58" customFormat="1" x14ac:dyDescent="0.25">
      <c r="D220" s="59"/>
    </row>
    <row r="221" spans="4:4" s="58" customFormat="1" x14ac:dyDescent="0.25">
      <c r="D221" s="59"/>
    </row>
    <row r="222" spans="4:4" s="58" customFormat="1" x14ac:dyDescent="0.25">
      <c r="D222" s="59"/>
    </row>
    <row r="223" spans="4:4" s="58" customFormat="1" x14ac:dyDescent="0.25">
      <c r="D223" s="59"/>
    </row>
    <row r="224" spans="4:4" s="58" customFormat="1" x14ac:dyDescent="0.25">
      <c r="D224" s="59"/>
    </row>
    <row r="225" spans="4:4" s="58" customFormat="1" x14ac:dyDescent="0.25">
      <c r="D225" s="59"/>
    </row>
    <row r="226" spans="4:4" s="58" customFormat="1" x14ac:dyDescent="0.25">
      <c r="D226" s="59"/>
    </row>
    <row r="227" spans="4:4" s="58" customFormat="1" x14ac:dyDescent="0.25">
      <c r="D227" s="59"/>
    </row>
    <row r="228" spans="4:4" s="58" customFormat="1" x14ac:dyDescent="0.25">
      <c r="D228" s="59"/>
    </row>
    <row r="229" spans="4:4" s="58" customFormat="1" x14ac:dyDescent="0.25">
      <c r="D229" s="59"/>
    </row>
    <row r="230" spans="4:4" s="58" customFormat="1" x14ac:dyDescent="0.25">
      <c r="D230" s="59"/>
    </row>
    <row r="231" spans="4:4" s="58" customFormat="1" x14ac:dyDescent="0.25">
      <c r="D231" s="59"/>
    </row>
    <row r="232" spans="4:4" s="58" customFormat="1" x14ac:dyDescent="0.25">
      <c r="D232" s="59"/>
    </row>
    <row r="233" spans="4:4" s="58" customFormat="1" x14ac:dyDescent="0.25">
      <c r="D233" s="59"/>
    </row>
    <row r="234" spans="4:4" s="58" customFormat="1" x14ac:dyDescent="0.25">
      <c r="D234" s="59"/>
    </row>
    <row r="235" spans="4:4" s="58" customFormat="1" x14ac:dyDescent="0.25">
      <c r="D235" s="59"/>
    </row>
    <row r="236" spans="4:4" s="58" customFormat="1" x14ac:dyDescent="0.25">
      <c r="D236" s="59"/>
    </row>
    <row r="237" spans="4:4" s="58" customFormat="1" x14ac:dyDescent="0.25">
      <c r="D237" s="59"/>
    </row>
    <row r="238" spans="4:4" s="58" customFormat="1" x14ac:dyDescent="0.25">
      <c r="D238" s="59"/>
    </row>
    <row r="239" spans="4:4" s="58" customFormat="1" x14ac:dyDescent="0.25">
      <c r="D239" s="59"/>
    </row>
    <row r="240" spans="4:4" s="58" customFormat="1" x14ac:dyDescent="0.25">
      <c r="D240" s="59"/>
    </row>
    <row r="241" spans="4:4" s="58" customFormat="1" x14ac:dyDescent="0.25">
      <c r="D241" s="59"/>
    </row>
    <row r="242" spans="4:4" s="58" customFormat="1" x14ac:dyDescent="0.25">
      <c r="D242" s="59"/>
    </row>
    <row r="243" spans="4:4" s="58" customFormat="1" x14ac:dyDescent="0.25">
      <c r="D243" s="59"/>
    </row>
    <row r="244" spans="4:4" s="58" customFormat="1" x14ac:dyDescent="0.25">
      <c r="D244" s="59"/>
    </row>
    <row r="245" spans="4:4" s="58" customFormat="1" x14ac:dyDescent="0.25">
      <c r="D245" s="59"/>
    </row>
    <row r="246" spans="4:4" s="58" customFormat="1" x14ac:dyDescent="0.25">
      <c r="D246" s="59"/>
    </row>
    <row r="247" spans="4:4" s="58" customFormat="1" x14ac:dyDescent="0.25">
      <c r="D247" s="59"/>
    </row>
    <row r="248" spans="4:4" s="58" customFormat="1" x14ac:dyDescent="0.25">
      <c r="D248" s="59"/>
    </row>
    <row r="249" spans="4:4" s="58" customFormat="1" x14ac:dyDescent="0.25">
      <c r="D249" s="59"/>
    </row>
    <row r="250" spans="4:4" s="58" customFormat="1" x14ac:dyDescent="0.25">
      <c r="D250" s="59"/>
    </row>
    <row r="251" spans="4:4" s="58" customFormat="1" x14ac:dyDescent="0.25">
      <c r="D251" s="59"/>
    </row>
    <row r="252" spans="4:4" s="58" customFormat="1" x14ac:dyDescent="0.25">
      <c r="D252" s="59"/>
    </row>
    <row r="253" spans="4:4" s="58" customFormat="1" x14ac:dyDescent="0.25">
      <c r="D253" s="59"/>
    </row>
    <row r="254" spans="4:4" s="58" customFormat="1" x14ac:dyDescent="0.25">
      <c r="D254" s="59"/>
    </row>
    <row r="255" spans="4:4" s="58" customFormat="1" x14ac:dyDescent="0.25">
      <c r="D255" s="59"/>
    </row>
    <row r="256" spans="4:4" s="58" customFormat="1" x14ac:dyDescent="0.25">
      <c r="D256" s="59"/>
    </row>
    <row r="257" spans="4:4" s="58" customFormat="1" x14ac:dyDescent="0.25">
      <c r="D257" s="59"/>
    </row>
    <row r="258" spans="4:4" s="58" customFormat="1" x14ac:dyDescent="0.25">
      <c r="D258" s="59"/>
    </row>
    <row r="259" spans="4:4" s="58" customFormat="1" x14ac:dyDescent="0.25">
      <c r="D259" s="59"/>
    </row>
    <row r="260" spans="4:4" s="58" customFormat="1" x14ac:dyDescent="0.25">
      <c r="D260" s="59"/>
    </row>
    <row r="261" spans="4:4" s="58" customFormat="1" x14ac:dyDescent="0.25">
      <c r="D261" s="59"/>
    </row>
    <row r="262" spans="4:4" s="58" customFormat="1" x14ac:dyDescent="0.25">
      <c r="D262" s="59"/>
    </row>
    <row r="263" spans="4:4" s="58" customFormat="1" x14ac:dyDescent="0.25">
      <c r="D263" s="59"/>
    </row>
    <row r="264" spans="4:4" s="58" customFormat="1" x14ac:dyDescent="0.25">
      <c r="D264" s="59"/>
    </row>
    <row r="265" spans="4:4" s="58" customFormat="1" x14ac:dyDescent="0.25">
      <c r="D265" s="59"/>
    </row>
    <row r="266" spans="4:4" s="58" customFormat="1" x14ac:dyDescent="0.25">
      <c r="D266" s="59"/>
    </row>
    <row r="267" spans="4:4" s="58" customFormat="1" x14ac:dyDescent="0.25">
      <c r="D267" s="59"/>
    </row>
    <row r="268" spans="4:4" s="58" customFormat="1" x14ac:dyDescent="0.25">
      <c r="D268" s="59"/>
    </row>
    <row r="269" spans="4:4" s="58" customFormat="1" x14ac:dyDescent="0.25">
      <c r="D269" s="59"/>
    </row>
    <row r="270" spans="4:4" s="58" customFormat="1" x14ac:dyDescent="0.25">
      <c r="D270" s="59"/>
    </row>
    <row r="271" spans="4:4" s="58" customFormat="1" x14ac:dyDescent="0.25">
      <c r="D271" s="59"/>
    </row>
    <row r="272" spans="4:4" s="58" customFormat="1" x14ac:dyDescent="0.25">
      <c r="D272" s="59"/>
    </row>
    <row r="273" spans="4:4" s="58" customFormat="1" x14ac:dyDescent="0.25">
      <c r="D273" s="59"/>
    </row>
    <row r="274" spans="4:4" s="58" customFormat="1" x14ac:dyDescent="0.25">
      <c r="D274" s="59"/>
    </row>
    <row r="275" spans="4:4" s="58" customFormat="1" x14ac:dyDescent="0.25">
      <c r="D275" s="59"/>
    </row>
    <row r="276" spans="4:4" s="58" customFormat="1" x14ac:dyDescent="0.25">
      <c r="D276" s="59"/>
    </row>
    <row r="277" spans="4:4" s="58" customFormat="1" x14ac:dyDescent="0.25">
      <c r="D277" s="59"/>
    </row>
    <row r="278" spans="4:4" s="58" customFormat="1" x14ac:dyDescent="0.25">
      <c r="D278" s="59"/>
    </row>
    <row r="279" spans="4:4" s="58" customFormat="1" x14ac:dyDescent="0.25">
      <c r="D279" s="59"/>
    </row>
    <row r="280" spans="4:4" s="58" customFormat="1" x14ac:dyDescent="0.25">
      <c r="D280" s="59"/>
    </row>
    <row r="281" spans="4:4" s="58" customFormat="1" x14ac:dyDescent="0.25">
      <c r="D281" s="59"/>
    </row>
    <row r="282" spans="4:4" s="58" customFormat="1" x14ac:dyDescent="0.25">
      <c r="D282" s="59"/>
    </row>
    <row r="283" spans="4:4" s="58" customFormat="1" x14ac:dyDescent="0.25">
      <c r="D283" s="59"/>
    </row>
    <row r="284" spans="4:4" s="58" customFormat="1" x14ac:dyDescent="0.25">
      <c r="D284" s="59"/>
    </row>
    <row r="285" spans="4:4" s="58" customFormat="1" x14ac:dyDescent="0.25">
      <c r="D285" s="59"/>
    </row>
    <row r="286" spans="4:4" s="58" customFormat="1" x14ac:dyDescent="0.25">
      <c r="D286" s="59"/>
    </row>
    <row r="287" spans="4:4" s="58" customFormat="1" x14ac:dyDescent="0.25">
      <c r="D287" s="59"/>
    </row>
    <row r="288" spans="4:4" s="58" customFormat="1" x14ac:dyDescent="0.25">
      <c r="D288" s="59"/>
    </row>
    <row r="289" spans="4:4" s="58" customFormat="1" x14ac:dyDescent="0.25">
      <c r="D289" s="59"/>
    </row>
    <row r="290" spans="4:4" s="58" customFormat="1" x14ac:dyDescent="0.25">
      <c r="D290" s="59"/>
    </row>
    <row r="291" spans="4:4" s="58" customFormat="1" x14ac:dyDescent="0.25">
      <c r="D291" s="59"/>
    </row>
    <row r="292" spans="4:4" s="58" customFormat="1" x14ac:dyDescent="0.25">
      <c r="D292" s="59"/>
    </row>
    <row r="293" spans="4:4" s="58" customFormat="1" x14ac:dyDescent="0.25">
      <c r="D293" s="59"/>
    </row>
    <row r="294" spans="4:4" s="58" customFormat="1" x14ac:dyDescent="0.25">
      <c r="D294" s="59"/>
    </row>
    <row r="295" spans="4:4" s="58" customFormat="1" x14ac:dyDescent="0.25">
      <c r="D295" s="59"/>
    </row>
    <row r="296" spans="4:4" s="58" customFormat="1" x14ac:dyDescent="0.25">
      <c r="D296" s="59"/>
    </row>
    <row r="297" spans="4:4" s="58" customFormat="1" x14ac:dyDescent="0.25">
      <c r="D297" s="59"/>
    </row>
    <row r="298" spans="4:4" s="58" customFormat="1" x14ac:dyDescent="0.25">
      <c r="D298" s="59"/>
    </row>
    <row r="299" spans="4:4" s="58" customFormat="1" x14ac:dyDescent="0.25">
      <c r="D299" s="59"/>
    </row>
    <row r="300" spans="4:4" s="58" customFormat="1" x14ac:dyDescent="0.25">
      <c r="D300" s="59"/>
    </row>
    <row r="301" spans="4:4" s="58" customFormat="1" x14ac:dyDescent="0.25">
      <c r="D301" s="59"/>
    </row>
    <row r="302" spans="4:4" s="58" customFormat="1" x14ac:dyDescent="0.25">
      <c r="D302" s="59"/>
    </row>
    <row r="303" spans="4:4" s="58" customFormat="1" x14ac:dyDescent="0.25">
      <c r="D303" s="59"/>
    </row>
    <row r="304" spans="4:4" s="58" customFormat="1" x14ac:dyDescent="0.25">
      <c r="D304" s="59"/>
    </row>
    <row r="305" spans="4:4" s="58" customFormat="1" x14ac:dyDescent="0.25">
      <c r="D305" s="59"/>
    </row>
    <row r="306" spans="4:4" s="58" customFormat="1" x14ac:dyDescent="0.25">
      <c r="D306" s="59"/>
    </row>
    <row r="307" spans="4:4" s="58" customFormat="1" x14ac:dyDescent="0.25">
      <c r="D307" s="59"/>
    </row>
    <row r="308" spans="4:4" s="58" customFormat="1" x14ac:dyDescent="0.25">
      <c r="D308" s="59"/>
    </row>
    <row r="309" spans="4:4" s="58" customFormat="1" x14ac:dyDescent="0.25">
      <c r="D309" s="59"/>
    </row>
    <row r="310" spans="4:4" s="58" customFormat="1" x14ac:dyDescent="0.25">
      <c r="D310" s="59"/>
    </row>
    <row r="311" spans="4:4" s="58" customFormat="1" x14ac:dyDescent="0.25">
      <c r="D311" s="59"/>
    </row>
    <row r="312" spans="4:4" s="58" customFormat="1" x14ac:dyDescent="0.25">
      <c r="D312" s="59"/>
    </row>
    <row r="313" spans="4:4" s="58" customFormat="1" x14ac:dyDescent="0.25">
      <c r="D313" s="59"/>
    </row>
    <row r="314" spans="4:4" s="58" customFormat="1" x14ac:dyDescent="0.25">
      <c r="D314" s="59"/>
    </row>
    <row r="315" spans="4:4" s="58" customFormat="1" x14ac:dyDescent="0.25">
      <c r="D315" s="59"/>
    </row>
    <row r="316" spans="4:4" s="58" customFormat="1" x14ac:dyDescent="0.25">
      <c r="D316" s="59"/>
    </row>
    <row r="317" spans="4:4" s="58" customFormat="1" x14ac:dyDescent="0.25">
      <c r="D317" s="59"/>
    </row>
    <row r="318" spans="4:4" s="58" customFormat="1" x14ac:dyDescent="0.25">
      <c r="D318" s="59"/>
    </row>
    <row r="319" spans="4:4" s="58" customFormat="1" x14ac:dyDescent="0.25">
      <c r="D319" s="59"/>
    </row>
    <row r="320" spans="4:4" s="58" customFormat="1" x14ac:dyDescent="0.25">
      <c r="D320" s="59"/>
    </row>
    <row r="321" spans="4:4" s="58" customFormat="1" x14ac:dyDescent="0.25">
      <c r="D321" s="59"/>
    </row>
    <row r="322" spans="4:4" s="58" customFormat="1" x14ac:dyDescent="0.25">
      <c r="D322" s="59"/>
    </row>
    <row r="323" spans="4:4" s="58" customFormat="1" x14ac:dyDescent="0.25">
      <c r="D323" s="59"/>
    </row>
    <row r="324" spans="4:4" s="58" customFormat="1" x14ac:dyDescent="0.25">
      <c r="D324" s="59"/>
    </row>
    <row r="325" spans="4:4" s="58" customFormat="1" x14ac:dyDescent="0.25">
      <c r="D325" s="59"/>
    </row>
    <row r="326" spans="4:4" s="58" customFormat="1" x14ac:dyDescent="0.25">
      <c r="D326" s="59"/>
    </row>
    <row r="327" spans="4:4" s="58" customFormat="1" x14ac:dyDescent="0.25">
      <c r="D327" s="59"/>
    </row>
    <row r="328" spans="4:4" s="58" customFormat="1" x14ac:dyDescent="0.25">
      <c r="D328" s="59"/>
    </row>
    <row r="329" spans="4:4" s="58" customFormat="1" x14ac:dyDescent="0.25">
      <c r="D329" s="59"/>
    </row>
    <row r="330" spans="4:4" s="58" customFormat="1" x14ac:dyDescent="0.25">
      <c r="D330" s="59"/>
    </row>
    <row r="331" spans="4:4" s="58" customFormat="1" x14ac:dyDescent="0.25">
      <c r="D331" s="59"/>
    </row>
    <row r="332" spans="4:4" s="58" customFormat="1" x14ac:dyDescent="0.25">
      <c r="D332" s="59"/>
    </row>
    <row r="333" spans="4:4" s="58" customFormat="1" x14ac:dyDescent="0.25">
      <c r="D333" s="59"/>
    </row>
    <row r="334" spans="4:4" s="58" customFormat="1" x14ac:dyDescent="0.25">
      <c r="D334" s="59"/>
    </row>
    <row r="335" spans="4:4" s="58" customFormat="1" x14ac:dyDescent="0.25">
      <c r="D335" s="59"/>
    </row>
    <row r="336" spans="4:4" s="58" customFormat="1" x14ac:dyDescent="0.25">
      <c r="D336" s="59"/>
    </row>
    <row r="337" spans="4:4" s="58" customFormat="1" x14ac:dyDescent="0.25">
      <c r="D337" s="59"/>
    </row>
    <row r="338" spans="4:4" s="58" customFormat="1" x14ac:dyDescent="0.25">
      <c r="D338" s="59"/>
    </row>
    <row r="339" spans="4:4" s="58" customFormat="1" x14ac:dyDescent="0.25">
      <c r="D339" s="59"/>
    </row>
    <row r="340" spans="4:4" s="58" customFormat="1" x14ac:dyDescent="0.25">
      <c r="D340" s="59"/>
    </row>
    <row r="341" spans="4:4" s="58" customFormat="1" x14ac:dyDescent="0.25">
      <c r="D341" s="59"/>
    </row>
    <row r="342" spans="4:4" s="58" customFormat="1" x14ac:dyDescent="0.25">
      <c r="D342" s="59"/>
    </row>
    <row r="343" spans="4:4" s="58" customFormat="1" x14ac:dyDescent="0.25">
      <c r="D343" s="59"/>
    </row>
    <row r="344" spans="4:4" s="58" customFormat="1" x14ac:dyDescent="0.25">
      <c r="D344" s="59"/>
    </row>
    <row r="345" spans="4:4" s="58" customFormat="1" x14ac:dyDescent="0.25">
      <c r="D345" s="59"/>
    </row>
    <row r="346" spans="4:4" s="58" customFormat="1" x14ac:dyDescent="0.25">
      <c r="D346" s="59"/>
    </row>
    <row r="347" spans="4:4" s="58" customFormat="1" x14ac:dyDescent="0.25">
      <c r="D347" s="59"/>
    </row>
    <row r="348" spans="4:4" s="58" customFormat="1" x14ac:dyDescent="0.25">
      <c r="D348" s="59"/>
    </row>
    <row r="349" spans="4:4" s="58" customFormat="1" x14ac:dyDescent="0.25">
      <c r="D349" s="59"/>
    </row>
    <row r="350" spans="4:4" s="58" customFormat="1" x14ac:dyDescent="0.25">
      <c r="D350" s="59"/>
    </row>
    <row r="351" spans="4:4" s="58" customFormat="1" x14ac:dyDescent="0.25">
      <c r="D351" s="59"/>
    </row>
    <row r="352" spans="4:4" s="58" customFormat="1" x14ac:dyDescent="0.25">
      <c r="D352" s="59"/>
    </row>
    <row r="353" spans="4:4" s="58" customFormat="1" x14ac:dyDescent="0.25">
      <c r="D353" s="59"/>
    </row>
    <row r="354" spans="4:4" s="58" customFormat="1" x14ac:dyDescent="0.25">
      <c r="D354" s="59"/>
    </row>
    <row r="355" spans="4:4" s="58" customFormat="1" x14ac:dyDescent="0.25">
      <c r="D355" s="59"/>
    </row>
    <row r="356" spans="4:4" s="58" customFormat="1" x14ac:dyDescent="0.25">
      <c r="D356" s="59"/>
    </row>
    <row r="357" spans="4:4" s="58" customFormat="1" x14ac:dyDescent="0.25">
      <c r="D357" s="59"/>
    </row>
    <row r="358" spans="4:4" s="58" customFormat="1" x14ac:dyDescent="0.25">
      <c r="D358" s="59"/>
    </row>
    <row r="359" spans="4:4" s="58" customFormat="1" x14ac:dyDescent="0.25">
      <c r="D359" s="59"/>
    </row>
    <row r="360" spans="4:4" s="58" customFormat="1" x14ac:dyDescent="0.25">
      <c r="D360" s="59"/>
    </row>
    <row r="361" spans="4:4" s="58" customFormat="1" x14ac:dyDescent="0.25">
      <c r="D361" s="59"/>
    </row>
    <row r="362" spans="4:4" s="58" customFormat="1" x14ac:dyDescent="0.25">
      <c r="D362" s="59"/>
    </row>
    <row r="363" spans="4:4" s="58" customFormat="1" x14ac:dyDescent="0.25">
      <c r="D363" s="59"/>
    </row>
    <row r="364" spans="4:4" s="58" customFormat="1" x14ac:dyDescent="0.25">
      <c r="D364" s="59"/>
    </row>
    <row r="365" spans="4:4" s="58" customFormat="1" x14ac:dyDescent="0.25">
      <c r="D365" s="59"/>
    </row>
    <row r="366" spans="4:4" s="58" customFormat="1" x14ac:dyDescent="0.25">
      <c r="D366" s="59"/>
    </row>
    <row r="367" spans="4:4" s="58" customFormat="1" x14ac:dyDescent="0.25">
      <c r="D367" s="59"/>
    </row>
    <row r="368" spans="4:4" s="58" customFormat="1" x14ac:dyDescent="0.25">
      <c r="D368" s="59"/>
    </row>
    <row r="369" spans="4:4" s="58" customFormat="1" x14ac:dyDescent="0.25">
      <c r="D369" s="59"/>
    </row>
    <row r="370" spans="4:4" s="58" customFormat="1" x14ac:dyDescent="0.25">
      <c r="D370" s="59"/>
    </row>
    <row r="371" spans="4:4" s="58" customFormat="1" x14ac:dyDescent="0.25">
      <c r="D371" s="59"/>
    </row>
    <row r="372" spans="4:4" s="58" customFormat="1" x14ac:dyDescent="0.25">
      <c r="D372" s="59"/>
    </row>
    <row r="373" spans="4:4" s="58" customFormat="1" x14ac:dyDescent="0.25">
      <c r="D373" s="59"/>
    </row>
    <row r="374" spans="4:4" s="58" customFormat="1" x14ac:dyDescent="0.25">
      <c r="D374" s="59"/>
    </row>
    <row r="375" spans="4:4" s="58" customFormat="1" x14ac:dyDescent="0.25">
      <c r="D375" s="59"/>
    </row>
    <row r="376" spans="4:4" s="58" customFormat="1" x14ac:dyDescent="0.25">
      <c r="D376" s="59"/>
    </row>
    <row r="377" spans="4:4" s="58" customFormat="1" x14ac:dyDescent="0.25">
      <c r="D377" s="59"/>
    </row>
    <row r="378" spans="4:4" s="58" customFormat="1" x14ac:dyDescent="0.25">
      <c r="D378" s="59"/>
    </row>
    <row r="379" spans="4:4" s="58" customFormat="1" x14ac:dyDescent="0.25">
      <c r="D379" s="59"/>
    </row>
    <row r="380" spans="4:4" s="58" customFormat="1" x14ac:dyDescent="0.25">
      <c r="D380" s="59"/>
    </row>
    <row r="381" spans="4:4" s="58" customFormat="1" x14ac:dyDescent="0.25">
      <c r="D381" s="59"/>
    </row>
    <row r="382" spans="4:4" s="58" customFormat="1" x14ac:dyDescent="0.25">
      <c r="D382" s="59"/>
    </row>
    <row r="383" spans="4:4" s="58" customFormat="1" x14ac:dyDescent="0.25">
      <c r="D383" s="59"/>
    </row>
    <row r="384" spans="4:4" s="58" customFormat="1" x14ac:dyDescent="0.25">
      <c r="D384" s="59"/>
    </row>
    <row r="385" spans="4:4" s="58" customFormat="1" x14ac:dyDescent="0.25">
      <c r="D385" s="59"/>
    </row>
    <row r="386" spans="4:4" s="58" customFormat="1" x14ac:dyDescent="0.25">
      <c r="D386" s="59"/>
    </row>
    <row r="387" spans="4:4" s="58" customFormat="1" x14ac:dyDescent="0.25">
      <c r="D387" s="59"/>
    </row>
    <row r="388" spans="4:4" s="58" customFormat="1" x14ac:dyDescent="0.25">
      <c r="D388" s="59"/>
    </row>
    <row r="389" spans="4:4" s="58" customFormat="1" x14ac:dyDescent="0.25">
      <c r="D389" s="59"/>
    </row>
    <row r="390" spans="4:4" s="58" customFormat="1" x14ac:dyDescent="0.25">
      <c r="D390" s="59"/>
    </row>
    <row r="391" spans="4:4" s="58" customFormat="1" x14ac:dyDescent="0.25">
      <c r="D391" s="59"/>
    </row>
    <row r="392" spans="4:4" s="58" customFormat="1" x14ac:dyDescent="0.25">
      <c r="D392" s="59"/>
    </row>
    <row r="393" spans="4:4" s="58" customFormat="1" x14ac:dyDescent="0.25">
      <c r="D393" s="59"/>
    </row>
    <row r="394" spans="4:4" s="58" customFormat="1" x14ac:dyDescent="0.25">
      <c r="D394" s="59"/>
    </row>
    <row r="395" spans="4:4" s="58" customFormat="1" x14ac:dyDescent="0.25">
      <c r="D395" s="59"/>
    </row>
    <row r="396" spans="4:4" s="58" customFormat="1" x14ac:dyDescent="0.25">
      <c r="D396" s="59"/>
    </row>
    <row r="397" spans="4:4" s="58" customFormat="1" x14ac:dyDescent="0.25">
      <c r="D397" s="59"/>
    </row>
    <row r="398" spans="4:4" s="58" customFormat="1" x14ac:dyDescent="0.25">
      <c r="D398" s="59"/>
    </row>
    <row r="399" spans="4:4" s="58" customFormat="1" x14ac:dyDescent="0.25">
      <c r="D399" s="59"/>
    </row>
    <row r="400" spans="4:4" s="58" customFormat="1" x14ac:dyDescent="0.25">
      <c r="D400" s="59"/>
    </row>
    <row r="401" spans="4:4" s="58" customFormat="1" x14ac:dyDescent="0.25">
      <c r="D401" s="59"/>
    </row>
    <row r="402" spans="4:4" s="58" customFormat="1" x14ac:dyDescent="0.25">
      <c r="D402" s="59"/>
    </row>
    <row r="403" spans="4:4" s="58" customFormat="1" x14ac:dyDescent="0.25">
      <c r="D403" s="59"/>
    </row>
    <row r="404" spans="4:4" s="58" customFormat="1" x14ac:dyDescent="0.25">
      <c r="D404" s="59"/>
    </row>
    <row r="405" spans="4:4" s="58" customFormat="1" x14ac:dyDescent="0.25">
      <c r="D405" s="59"/>
    </row>
    <row r="406" spans="4:4" s="58" customFormat="1" x14ac:dyDescent="0.25">
      <c r="D406" s="59"/>
    </row>
    <row r="407" spans="4:4" s="58" customFormat="1" x14ac:dyDescent="0.25">
      <c r="D407" s="59"/>
    </row>
    <row r="408" spans="4:4" s="58" customFormat="1" x14ac:dyDescent="0.25">
      <c r="D408" s="59"/>
    </row>
    <row r="409" spans="4:4" s="58" customFormat="1" x14ac:dyDescent="0.25">
      <c r="D409" s="59"/>
    </row>
    <row r="410" spans="4:4" s="58" customFormat="1" x14ac:dyDescent="0.25">
      <c r="D410" s="59"/>
    </row>
    <row r="411" spans="4:4" s="58" customFormat="1" x14ac:dyDescent="0.25">
      <c r="D411" s="59"/>
    </row>
    <row r="412" spans="4:4" s="58" customFormat="1" x14ac:dyDescent="0.25">
      <c r="D412" s="59"/>
    </row>
    <row r="413" spans="4:4" s="58" customFormat="1" x14ac:dyDescent="0.25">
      <c r="D413" s="59"/>
    </row>
    <row r="414" spans="4:4" s="58" customFormat="1" x14ac:dyDescent="0.25">
      <c r="D414" s="59"/>
    </row>
    <row r="415" spans="4:4" s="58" customFormat="1" x14ac:dyDescent="0.25">
      <c r="D415" s="59"/>
    </row>
    <row r="416" spans="4:4" s="58" customFormat="1" x14ac:dyDescent="0.25">
      <c r="D416" s="59"/>
    </row>
    <row r="417" spans="4:4" s="58" customFormat="1" x14ac:dyDescent="0.25">
      <c r="D417" s="59"/>
    </row>
    <row r="418" spans="4:4" s="58" customFormat="1" x14ac:dyDescent="0.25">
      <c r="D418" s="59"/>
    </row>
    <row r="419" spans="4:4" s="58" customFormat="1" x14ac:dyDescent="0.25">
      <c r="D419" s="59"/>
    </row>
    <row r="420" spans="4:4" s="58" customFormat="1" x14ac:dyDescent="0.25">
      <c r="D420" s="59"/>
    </row>
    <row r="421" spans="4:4" s="58" customFormat="1" x14ac:dyDescent="0.25">
      <c r="D421" s="59"/>
    </row>
    <row r="422" spans="4:4" s="58" customFormat="1" x14ac:dyDescent="0.25">
      <c r="D422" s="59"/>
    </row>
    <row r="423" spans="4:4" s="58" customFormat="1" x14ac:dyDescent="0.25">
      <c r="D423" s="59"/>
    </row>
    <row r="424" spans="4:4" s="58" customFormat="1" x14ac:dyDescent="0.25">
      <c r="D424" s="59"/>
    </row>
    <row r="425" spans="4:4" s="58" customFormat="1" x14ac:dyDescent="0.25">
      <c r="D425" s="59"/>
    </row>
    <row r="426" spans="4:4" s="58" customFormat="1" x14ac:dyDescent="0.25">
      <c r="D426" s="59"/>
    </row>
    <row r="427" spans="4:4" s="58" customFormat="1" x14ac:dyDescent="0.25">
      <c r="D427" s="59"/>
    </row>
    <row r="428" spans="4:4" s="58" customFormat="1" x14ac:dyDescent="0.25">
      <c r="D428" s="59"/>
    </row>
    <row r="429" spans="4:4" s="58" customFormat="1" x14ac:dyDescent="0.25">
      <c r="D429" s="59"/>
    </row>
    <row r="430" spans="4:4" s="58" customFormat="1" x14ac:dyDescent="0.25">
      <c r="D430" s="59"/>
    </row>
    <row r="431" spans="4:4" s="58" customFormat="1" x14ac:dyDescent="0.25">
      <c r="D431" s="59"/>
    </row>
    <row r="432" spans="4:4" s="58" customFormat="1" x14ac:dyDescent="0.25">
      <c r="D432" s="59"/>
    </row>
    <row r="433" spans="4:4" s="58" customFormat="1" x14ac:dyDescent="0.25">
      <c r="D433" s="59"/>
    </row>
    <row r="434" spans="4:4" s="58" customFormat="1" x14ac:dyDescent="0.25">
      <c r="D434" s="59"/>
    </row>
    <row r="435" spans="4:4" s="58" customFormat="1" x14ac:dyDescent="0.25">
      <c r="D435" s="59"/>
    </row>
    <row r="436" spans="4:4" s="58" customFormat="1" x14ac:dyDescent="0.25">
      <c r="D436" s="59"/>
    </row>
    <row r="437" spans="4:4" s="58" customFormat="1" x14ac:dyDescent="0.25">
      <c r="D437" s="59"/>
    </row>
    <row r="438" spans="4:4" s="58" customFormat="1" x14ac:dyDescent="0.25">
      <c r="D438" s="59"/>
    </row>
    <row r="439" spans="4:4" s="58" customFormat="1" x14ac:dyDescent="0.25">
      <c r="D439" s="59"/>
    </row>
    <row r="440" spans="4:4" s="58" customFormat="1" x14ac:dyDescent="0.25">
      <c r="D440" s="59"/>
    </row>
    <row r="441" spans="4:4" s="58" customFormat="1" x14ac:dyDescent="0.25">
      <c r="D441" s="59"/>
    </row>
    <row r="442" spans="4:4" s="58" customFormat="1" x14ac:dyDescent="0.25">
      <c r="D442" s="59"/>
    </row>
    <row r="443" spans="4:4" s="58" customFormat="1" x14ac:dyDescent="0.25">
      <c r="D443" s="59"/>
    </row>
    <row r="444" spans="4:4" s="58" customFormat="1" x14ac:dyDescent="0.25">
      <c r="D444" s="59"/>
    </row>
    <row r="445" spans="4:4" s="58" customFormat="1" x14ac:dyDescent="0.25">
      <c r="D445" s="59"/>
    </row>
    <row r="446" spans="4:4" s="58" customFormat="1" x14ac:dyDescent="0.25">
      <c r="D446" s="59"/>
    </row>
    <row r="447" spans="4:4" s="58" customFormat="1" x14ac:dyDescent="0.25">
      <c r="D447" s="59"/>
    </row>
    <row r="448" spans="4:4" s="58" customFormat="1" x14ac:dyDescent="0.25">
      <c r="D448" s="59"/>
    </row>
    <row r="449" spans="4:4" s="58" customFormat="1" x14ac:dyDescent="0.25">
      <c r="D449" s="59"/>
    </row>
    <row r="450" spans="4:4" s="58" customFormat="1" x14ac:dyDescent="0.25">
      <c r="D450" s="59"/>
    </row>
    <row r="451" spans="4:4" s="58" customFormat="1" x14ac:dyDescent="0.25">
      <c r="D451" s="59"/>
    </row>
    <row r="452" spans="4:4" s="58" customFormat="1" x14ac:dyDescent="0.25">
      <c r="D452" s="59"/>
    </row>
    <row r="453" spans="4:4" s="58" customFormat="1" x14ac:dyDescent="0.25">
      <c r="D453" s="59"/>
    </row>
    <row r="454" spans="4:4" s="58" customFormat="1" x14ac:dyDescent="0.25">
      <c r="D454" s="59"/>
    </row>
    <row r="455" spans="4:4" s="58" customFormat="1" x14ac:dyDescent="0.25">
      <c r="D455" s="59"/>
    </row>
    <row r="456" spans="4:4" s="58" customFormat="1" x14ac:dyDescent="0.25">
      <c r="D456" s="59"/>
    </row>
    <row r="457" spans="4:4" s="58" customFormat="1" x14ac:dyDescent="0.25">
      <c r="D457" s="59"/>
    </row>
    <row r="458" spans="4:4" s="58" customFormat="1" x14ac:dyDescent="0.25">
      <c r="D458" s="59"/>
    </row>
    <row r="459" spans="4:4" s="58" customFormat="1" x14ac:dyDescent="0.25">
      <c r="D459" s="59"/>
    </row>
    <row r="460" spans="4:4" s="58" customFormat="1" x14ac:dyDescent="0.25">
      <c r="D460" s="59"/>
    </row>
    <row r="461" spans="4:4" s="58" customFormat="1" x14ac:dyDescent="0.25">
      <c r="D461" s="59"/>
    </row>
    <row r="462" spans="4:4" s="58" customFormat="1" x14ac:dyDescent="0.25">
      <c r="D462" s="59"/>
    </row>
    <row r="463" spans="4:4" s="58" customFormat="1" x14ac:dyDescent="0.25">
      <c r="D463" s="59"/>
    </row>
    <row r="464" spans="4:4" s="58" customFormat="1" x14ac:dyDescent="0.25">
      <c r="D464" s="59"/>
    </row>
    <row r="465" spans="4:4" s="58" customFormat="1" x14ac:dyDescent="0.25">
      <c r="D465" s="59"/>
    </row>
    <row r="466" spans="4:4" s="58" customFormat="1" x14ac:dyDescent="0.25">
      <c r="D466" s="59"/>
    </row>
    <row r="467" spans="4:4" s="58" customFormat="1" x14ac:dyDescent="0.25">
      <c r="D467" s="59"/>
    </row>
    <row r="468" spans="4:4" s="58" customFormat="1" x14ac:dyDescent="0.25">
      <c r="D468" s="59"/>
    </row>
    <row r="469" spans="4:4" s="58" customFormat="1" x14ac:dyDescent="0.25">
      <c r="D469" s="59"/>
    </row>
    <row r="470" spans="4:4" s="58" customFormat="1" x14ac:dyDescent="0.25">
      <c r="D470" s="59"/>
    </row>
    <row r="471" spans="4:4" s="58" customFormat="1" x14ac:dyDescent="0.25">
      <c r="D471" s="59"/>
    </row>
    <row r="472" spans="4:4" s="58" customFormat="1" x14ac:dyDescent="0.25">
      <c r="D472" s="59"/>
    </row>
    <row r="473" spans="4:4" s="58" customFormat="1" x14ac:dyDescent="0.25">
      <c r="D473" s="59"/>
    </row>
    <row r="474" spans="4:4" s="58" customFormat="1" x14ac:dyDescent="0.25">
      <c r="D474" s="59"/>
    </row>
    <row r="475" spans="4:4" s="58" customFormat="1" x14ac:dyDescent="0.25">
      <c r="D475" s="59"/>
    </row>
    <row r="476" spans="4:4" s="58" customFormat="1" x14ac:dyDescent="0.25">
      <c r="D476" s="59"/>
    </row>
    <row r="477" spans="4:4" s="58" customFormat="1" x14ac:dyDescent="0.25">
      <c r="D477" s="59"/>
    </row>
    <row r="478" spans="4:4" s="58" customFormat="1" x14ac:dyDescent="0.25">
      <c r="D478" s="59"/>
    </row>
    <row r="479" spans="4:4" s="58" customFormat="1" x14ac:dyDescent="0.25">
      <c r="D479" s="59"/>
    </row>
    <row r="480" spans="4:4" s="58" customFormat="1" x14ac:dyDescent="0.25">
      <c r="D480" s="59"/>
    </row>
    <row r="481" spans="4:4" s="58" customFormat="1" x14ac:dyDescent="0.25">
      <c r="D481" s="59"/>
    </row>
    <row r="482" spans="4:4" s="58" customFormat="1" x14ac:dyDescent="0.25">
      <c r="D482" s="59"/>
    </row>
    <row r="483" spans="4:4" s="58" customFormat="1" x14ac:dyDescent="0.25">
      <c r="D483" s="59"/>
    </row>
    <row r="484" spans="4:4" s="58" customFormat="1" x14ac:dyDescent="0.25">
      <c r="D484" s="59"/>
    </row>
    <row r="485" spans="4:4" s="58" customFormat="1" x14ac:dyDescent="0.25">
      <c r="D485" s="59"/>
    </row>
    <row r="486" spans="4:4" s="58" customFormat="1" x14ac:dyDescent="0.25">
      <c r="D486" s="59"/>
    </row>
    <row r="487" spans="4:4" s="58" customFormat="1" x14ac:dyDescent="0.25">
      <c r="D487" s="59"/>
    </row>
    <row r="488" spans="4:4" s="58" customFormat="1" x14ac:dyDescent="0.25">
      <c r="D488" s="59"/>
    </row>
    <row r="489" spans="4:4" s="58" customFormat="1" x14ac:dyDescent="0.25">
      <c r="D489" s="59"/>
    </row>
    <row r="490" spans="4:4" s="58" customFormat="1" x14ac:dyDescent="0.25">
      <c r="D490" s="59"/>
    </row>
    <row r="491" spans="4:4" s="58" customFormat="1" x14ac:dyDescent="0.25">
      <c r="D491" s="59"/>
    </row>
    <row r="492" spans="4:4" s="58" customFormat="1" x14ac:dyDescent="0.25">
      <c r="D492" s="59"/>
    </row>
    <row r="493" spans="4:4" s="58" customFormat="1" x14ac:dyDescent="0.25">
      <c r="D493" s="59"/>
    </row>
    <row r="494" spans="4:4" s="58" customFormat="1" x14ac:dyDescent="0.25">
      <c r="D494" s="59"/>
    </row>
    <row r="495" spans="4:4" s="58" customFormat="1" x14ac:dyDescent="0.25">
      <c r="D495" s="59"/>
    </row>
    <row r="496" spans="4:4" s="58" customFormat="1" x14ac:dyDescent="0.25">
      <c r="D496" s="59"/>
    </row>
    <row r="497" spans="4:4" s="58" customFormat="1" x14ac:dyDescent="0.25">
      <c r="D497" s="59"/>
    </row>
    <row r="498" spans="4:4" s="58" customFormat="1" x14ac:dyDescent="0.25">
      <c r="D498" s="59"/>
    </row>
    <row r="499" spans="4:4" s="58" customFormat="1" x14ac:dyDescent="0.25">
      <c r="D499" s="59"/>
    </row>
    <row r="500" spans="4:4" s="58" customFormat="1" x14ac:dyDescent="0.25">
      <c r="D500" s="59"/>
    </row>
    <row r="501" spans="4:4" s="58" customFormat="1" x14ac:dyDescent="0.25">
      <c r="D501" s="59"/>
    </row>
    <row r="502" spans="4:4" s="58" customFormat="1" x14ac:dyDescent="0.25">
      <c r="D502" s="59"/>
    </row>
    <row r="503" spans="4:4" s="58" customFormat="1" x14ac:dyDescent="0.25">
      <c r="D503" s="59"/>
    </row>
    <row r="504" spans="4:4" s="58" customFormat="1" x14ac:dyDescent="0.25">
      <c r="D504" s="59"/>
    </row>
    <row r="505" spans="4:4" s="58" customFormat="1" x14ac:dyDescent="0.25">
      <c r="D505" s="59"/>
    </row>
    <row r="506" spans="4:4" s="58" customFormat="1" x14ac:dyDescent="0.25">
      <c r="D506" s="59"/>
    </row>
    <row r="507" spans="4:4" s="58" customFormat="1" x14ac:dyDescent="0.25">
      <c r="D507" s="59"/>
    </row>
    <row r="508" spans="4:4" s="58" customFormat="1" x14ac:dyDescent="0.25">
      <c r="D508" s="59"/>
    </row>
    <row r="509" spans="4:4" s="58" customFormat="1" x14ac:dyDescent="0.25">
      <c r="D509" s="59"/>
    </row>
    <row r="510" spans="4:4" s="58" customFormat="1" x14ac:dyDescent="0.25">
      <c r="D510" s="59"/>
    </row>
    <row r="511" spans="4:4" s="58" customFormat="1" x14ac:dyDescent="0.25">
      <c r="D511" s="59"/>
    </row>
    <row r="512" spans="4:4" s="58" customFormat="1" x14ac:dyDescent="0.25">
      <c r="D512" s="59"/>
    </row>
    <row r="513" spans="4:4" s="58" customFormat="1" x14ac:dyDescent="0.25">
      <c r="D513" s="59"/>
    </row>
    <row r="514" spans="4:4" s="58" customFormat="1" x14ac:dyDescent="0.25">
      <c r="D514" s="59"/>
    </row>
    <row r="515" spans="4:4" s="58" customFormat="1" x14ac:dyDescent="0.25">
      <c r="D515" s="59"/>
    </row>
    <row r="516" spans="4:4" s="58" customFormat="1" x14ac:dyDescent="0.25">
      <c r="D516" s="59"/>
    </row>
    <row r="517" spans="4:4" s="58" customFormat="1" x14ac:dyDescent="0.25">
      <c r="D517" s="59"/>
    </row>
    <row r="518" spans="4:4" s="58" customFormat="1" x14ac:dyDescent="0.25">
      <c r="D518" s="59"/>
    </row>
    <row r="519" spans="4:4" s="58" customFormat="1" x14ac:dyDescent="0.25">
      <c r="D519" s="59"/>
    </row>
    <row r="520" spans="4:4" s="58" customFormat="1" x14ac:dyDescent="0.25">
      <c r="D520" s="59"/>
    </row>
    <row r="521" spans="4:4" s="58" customFormat="1" x14ac:dyDescent="0.25">
      <c r="D521" s="59"/>
    </row>
    <row r="522" spans="4:4" s="58" customFormat="1" x14ac:dyDescent="0.25">
      <c r="D522" s="59"/>
    </row>
    <row r="523" spans="4:4" s="58" customFormat="1" x14ac:dyDescent="0.25">
      <c r="D523" s="59"/>
    </row>
    <row r="524" spans="4:4" s="58" customFormat="1" x14ac:dyDescent="0.25">
      <c r="D524" s="59"/>
    </row>
    <row r="525" spans="4:4" s="58" customFormat="1" x14ac:dyDescent="0.25">
      <c r="D525" s="59"/>
    </row>
    <row r="526" spans="4:4" s="58" customFormat="1" x14ac:dyDescent="0.25">
      <c r="D526" s="59"/>
    </row>
    <row r="527" spans="4:4" s="58" customFormat="1" x14ac:dyDescent="0.25">
      <c r="D527" s="59"/>
    </row>
    <row r="528" spans="4:4" s="58" customFormat="1" x14ac:dyDescent="0.25">
      <c r="D528" s="59"/>
    </row>
    <row r="529" spans="4:4" s="58" customFormat="1" x14ac:dyDescent="0.25">
      <c r="D529" s="59"/>
    </row>
    <row r="530" spans="4:4" s="58" customFormat="1" x14ac:dyDescent="0.25">
      <c r="D530" s="59"/>
    </row>
    <row r="531" spans="4:4" s="58" customFormat="1" x14ac:dyDescent="0.25">
      <c r="D531" s="59"/>
    </row>
    <row r="532" spans="4:4" s="58" customFormat="1" x14ac:dyDescent="0.25">
      <c r="D532" s="59"/>
    </row>
    <row r="533" spans="4:4" s="58" customFormat="1" x14ac:dyDescent="0.25">
      <c r="D533" s="59"/>
    </row>
    <row r="534" spans="4:4" s="58" customFormat="1" x14ac:dyDescent="0.25">
      <c r="D534" s="59"/>
    </row>
    <row r="535" spans="4:4" s="58" customFormat="1" x14ac:dyDescent="0.25">
      <c r="D535" s="59"/>
    </row>
    <row r="536" spans="4:4" s="58" customFormat="1" x14ac:dyDescent="0.25">
      <c r="D536" s="59"/>
    </row>
    <row r="537" spans="4:4" s="58" customFormat="1" x14ac:dyDescent="0.25">
      <c r="D537" s="59"/>
    </row>
    <row r="538" spans="4:4" s="58" customFormat="1" x14ac:dyDescent="0.25">
      <c r="D538" s="59"/>
    </row>
    <row r="539" spans="4:4" s="58" customFormat="1" x14ac:dyDescent="0.25">
      <c r="D539" s="59"/>
    </row>
    <row r="540" spans="4:4" s="58" customFormat="1" x14ac:dyDescent="0.25">
      <c r="D540" s="59"/>
    </row>
    <row r="541" spans="4:4" s="58" customFormat="1" x14ac:dyDescent="0.25">
      <c r="D541" s="59"/>
    </row>
    <row r="542" spans="4:4" s="58" customFormat="1" x14ac:dyDescent="0.25">
      <c r="D542" s="59"/>
    </row>
    <row r="543" spans="4:4" s="58" customFormat="1" x14ac:dyDescent="0.25">
      <c r="D543" s="59"/>
    </row>
    <row r="544" spans="4:4" s="58" customFormat="1" x14ac:dyDescent="0.25">
      <c r="D544" s="59"/>
    </row>
    <row r="545" spans="4:4" s="58" customFormat="1" x14ac:dyDescent="0.25">
      <c r="D545" s="59"/>
    </row>
    <row r="546" spans="4:4" s="58" customFormat="1" x14ac:dyDescent="0.25">
      <c r="D546" s="59"/>
    </row>
    <row r="547" spans="4:4" s="58" customFormat="1" x14ac:dyDescent="0.25">
      <c r="D547" s="59"/>
    </row>
    <row r="548" spans="4:4" s="58" customFormat="1" x14ac:dyDescent="0.25">
      <c r="D548" s="59"/>
    </row>
    <row r="549" spans="4:4" s="58" customFormat="1" x14ac:dyDescent="0.25">
      <c r="D549" s="59"/>
    </row>
    <row r="550" spans="4:4" s="58" customFormat="1" x14ac:dyDescent="0.25">
      <c r="D550" s="59"/>
    </row>
    <row r="551" spans="4:4" s="58" customFormat="1" x14ac:dyDescent="0.25">
      <c r="D551" s="59"/>
    </row>
    <row r="552" spans="4:4" s="58" customFormat="1" x14ac:dyDescent="0.25">
      <c r="D552" s="59"/>
    </row>
    <row r="553" spans="4:4" s="58" customFormat="1" x14ac:dyDescent="0.25">
      <c r="D553" s="59"/>
    </row>
    <row r="554" spans="4:4" s="58" customFormat="1" x14ac:dyDescent="0.25">
      <c r="D554" s="59"/>
    </row>
    <row r="555" spans="4:4" s="58" customFormat="1" x14ac:dyDescent="0.25">
      <c r="D555" s="59"/>
    </row>
    <row r="556" spans="4:4" s="58" customFormat="1" x14ac:dyDescent="0.25">
      <c r="D556" s="59"/>
    </row>
    <row r="557" spans="4:4" s="58" customFormat="1" x14ac:dyDescent="0.25">
      <c r="D557" s="59"/>
    </row>
    <row r="558" spans="4:4" s="58" customFormat="1" x14ac:dyDescent="0.25">
      <c r="D558" s="59"/>
    </row>
    <row r="559" spans="4:4" s="58" customFormat="1" x14ac:dyDescent="0.25">
      <c r="D559" s="59"/>
    </row>
    <row r="560" spans="4:4" s="58" customFormat="1" x14ac:dyDescent="0.25">
      <c r="D560" s="59"/>
    </row>
    <row r="561" spans="4:4" s="58" customFormat="1" x14ac:dyDescent="0.25">
      <c r="D561" s="59"/>
    </row>
    <row r="562" spans="4:4" s="58" customFormat="1" x14ac:dyDescent="0.25">
      <c r="D562" s="59"/>
    </row>
    <row r="563" spans="4:4" s="58" customFormat="1" x14ac:dyDescent="0.25">
      <c r="D563" s="59"/>
    </row>
    <row r="564" spans="4:4" s="58" customFormat="1" x14ac:dyDescent="0.25">
      <c r="D564" s="59"/>
    </row>
    <row r="565" spans="4:4" s="58" customFormat="1" x14ac:dyDescent="0.25">
      <c r="D565" s="59"/>
    </row>
    <row r="566" spans="4:4" s="58" customFormat="1" x14ac:dyDescent="0.25">
      <c r="D566" s="59"/>
    </row>
    <row r="567" spans="4:4" s="58" customFormat="1" x14ac:dyDescent="0.25">
      <c r="D567" s="59"/>
    </row>
    <row r="568" spans="4:4" s="58" customFormat="1" x14ac:dyDescent="0.25">
      <c r="D568" s="59"/>
    </row>
    <row r="569" spans="4:4" s="58" customFormat="1" x14ac:dyDescent="0.25">
      <c r="D569" s="59"/>
    </row>
    <row r="570" spans="4:4" s="58" customFormat="1" x14ac:dyDescent="0.25">
      <c r="D570" s="59"/>
    </row>
    <row r="571" spans="4:4" s="58" customFormat="1" x14ac:dyDescent="0.25">
      <c r="D571" s="59"/>
    </row>
    <row r="572" spans="4:4" s="58" customFormat="1" x14ac:dyDescent="0.25">
      <c r="D572" s="59"/>
    </row>
    <row r="573" spans="4:4" s="58" customFormat="1" x14ac:dyDescent="0.25">
      <c r="D573" s="59"/>
    </row>
    <row r="574" spans="4:4" s="58" customFormat="1" x14ac:dyDescent="0.25">
      <c r="D574" s="59"/>
    </row>
    <row r="575" spans="4:4" s="58" customFormat="1" x14ac:dyDescent="0.25">
      <c r="D575" s="59"/>
    </row>
    <row r="576" spans="4:4" s="58" customFormat="1" x14ac:dyDescent="0.25">
      <c r="D576" s="59"/>
    </row>
    <row r="577" spans="4:4" s="58" customFormat="1" x14ac:dyDescent="0.25">
      <c r="D577" s="59"/>
    </row>
    <row r="578" spans="4:4" s="58" customFormat="1" x14ac:dyDescent="0.25">
      <c r="D578" s="59"/>
    </row>
    <row r="579" spans="4:4" s="58" customFormat="1" x14ac:dyDescent="0.25">
      <c r="D579" s="59"/>
    </row>
    <row r="580" spans="4:4" s="58" customFormat="1" x14ac:dyDescent="0.25">
      <c r="D580" s="59"/>
    </row>
    <row r="581" spans="4:4" s="58" customFormat="1" x14ac:dyDescent="0.25">
      <c r="D581" s="59"/>
    </row>
    <row r="582" spans="4:4" s="58" customFormat="1" x14ac:dyDescent="0.25">
      <c r="D582" s="59"/>
    </row>
    <row r="583" spans="4:4" s="58" customFormat="1" x14ac:dyDescent="0.25">
      <c r="D583" s="59"/>
    </row>
    <row r="584" spans="4:4" s="58" customFormat="1" x14ac:dyDescent="0.25">
      <c r="D584" s="59"/>
    </row>
    <row r="585" spans="4:4" s="58" customFormat="1" x14ac:dyDescent="0.25">
      <c r="D585" s="59"/>
    </row>
    <row r="586" spans="4:4" s="58" customFormat="1" x14ac:dyDescent="0.25">
      <c r="D586" s="59"/>
    </row>
    <row r="587" spans="4:4" s="58" customFormat="1" x14ac:dyDescent="0.25">
      <c r="D587" s="59"/>
    </row>
    <row r="588" spans="4:4" s="58" customFormat="1" x14ac:dyDescent="0.25">
      <c r="D588" s="59"/>
    </row>
    <row r="589" spans="4:4" s="58" customFormat="1" x14ac:dyDescent="0.25">
      <c r="D589" s="59"/>
    </row>
    <row r="590" spans="4:4" s="58" customFormat="1" x14ac:dyDescent="0.25">
      <c r="D590" s="59"/>
    </row>
    <row r="591" spans="4:4" s="58" customFormat="1" x14ac:dyDescent="0.25">
      <c r="D591" s="59"/>
    </row>
    <row r="592" spans="4:4" s="58" customFormat="1" x14ac:dyDescent="0.25">
      <c r="D592" s="59"/>
    </row>
    <row r="593" spans="4:4" s="58" customFormat="1" x14ac:dyDescent="0.25">
      <c r="D593" s="59"/>
    </row>
    <row r="594" spans="4:4" s="58" customFormat="1" x14ac:dyDescent="0.25">
      <c r="D594" s="59"/>
    </row>
    <row r="595" spans="4:4" s="58" customFormat="1" x14ac:dyDescent="0.25">
      <c r="D595" s="59"/>
    </row>
    <row r="596" spans="4:4" s="58" customFormat="1" x14ac:dyDescent="0.25">
      <c r="D596" s="59"/>
    </row>
    <row r="597" spans="4:4" s="58" customFormat="1" x14ac:dyDescent="0.25">
      <c r="D597" s="59"/>
    </row>
    <row r="598" spans="4:4" s="58" customFormat="1" x14ac:dyDescent="0.25">
      <c r="D598" s="59"/>
    </row>
    <row r="599" spans="4:4" s="58" customFormat="1" x14ac:dyDescent="0.25">
      <c r="D599" s="59"/>
    </row>
    <row r="600" spans="4:4" s="58" customFormat="1" x14ac:dyDescent="0.25">
      <c r="D600" s="59"/>
    </row>
    <row r="601" spans="4:4" s="58" customFormat="1" x14ac:dyDescent="0.25">
      <c r="D601" s="59"/>
    </row>
    <row r="602" spans="4:4" s="58" customFormat="1" x14ac:dyDescent="0.25">
      <c r="D602" s="59"/>
    </row>
    <row r="603" spans="4:4" s="58" customFormat="1" x14ac:dyDescent="0.25">
      <c r="D603" s="59"/>
    </row>
    <row r="604" spans="4:4" s="58" customFormat="1" x14ac:dyDescent="0.25">
      <c r="D604" s="59"/>
    </row>
    <row r="605" spans="4:4" s="58" customFormat="1" x14ac:dyDescent="0.25">
      <c r="D605" s="59"/>
    </row>
    <row r="606" spans="4:4" s="58" customFormat="1" x14ac:dyDescent="0.25">
      <c r="D606" s="59"/>
    </row>
    <row r="607" spans="4:4" s="58" customFormat="1" x14ac:dyDescent="0.25">
      <c r="D607" s="59"/>
    </row>
    <row r="608" spans="4:4" s="58" customFormat="1" x14ac:dyDescent="0.25">
      <c r="D608" s="59"/>
    </row>
    <row r="609" spans="4:4" s="58" customFormat="1" x14ac:dyDescent="0.25">
      <c r="D609" s="59"/>
    </row>
    <row r="610" spans="4:4" s="58" customFormat="1" x14ac:dyDescent="0.25">
      <c r="D610" s="59"/>
    </row>
    <row r="611" spans="4:4" s="58" customFormat="1" x14ac:dyDescent="0.25">
      <c r="D611" s="59"/>
    </row>
    <row r="612" spans="4:4" s="58" customFormat="1" x14ac:dyDescent="0.25">
      <c r="D612" s="59"/>
    </row>
    <row r="613" spans="4:4" s="58" customFormat="1" x14ac:dyDescent="0.25">
      <c r="D613" s="59"/>
    </row>
    <row r="614" spans="4:4" s="58" customFormat="1" x14ac:dyDescent="0.25">
      <c r="D614" s="59"/>
    </row>
    <row r="615" spans="4:4" s="58" customFormat="1" x14ac:dyDescent="0.25">
      <c r="D615" s="59"/>
    </row>
    <row r="616" spans="4:4" s="58" customFormat="1" x14ac:dyDescent="0.25">
      <c r="D616" s="59"/>
    </row>
    <row r="617" spans="4:4" s="58" customFormat="1" x14ac:dyDescent="0.25">
      <c r="D617" s="59"/>
    </row>
    <row r="618" spans="4:4" s="58" customFormat="1" x14ac:dyDescent="0.25">
      <c r="D618" s="59"/>
    </row>
    <row r="619" spans="4:4" s="58" customFormat="1" x14ac:dyDescent="0.25">
      <c r="D619" s="59"/>
    </row>
    <row r="620" spans="4:4" s="58" customFormat="1" x14ac:dyDescent="0.25">
      <c r="D620" s="59"/>
    </row>
    <row r="621" spans="4:4" s="58" customFormat="1" x14ac:dyDescent="0.25">
      <c r="D621" s="59"/>
    </row>
    <row r="622" spans="4:4" s="58" customFormat="1" x14ac:dyDescent="0.25">
      <c r="D622" s="59"/>
    </row>
    <row r="623" spans="4:4" s="58" customFormat="1" x14ac:dyDescent="0.25">
      <c r="D623" s="59"/>
    </row>
    <row r="624" spans="4:4" s="58" customFormat="1" x14ac:dyDescent="0.25">
      <c r="D624" s="59"/>
    </row>
    <row r="625" spans="4:4" s="58" customFormat="1" x14ac:dyDescent="0.25">
      <c r="D625" s="59"/>
    </row>
    <row r="626" spans="4:4" s="58" customFormat="1" x14ac:dyDescent="0.25">
      <c r="D626" s="59"/>
    </row>
    <row r="627" spans="4:4" s="58" customFormat="1" x14ac:dyDescent="0.25">
      <c r="D627" s="59"/>
    </row>
    <row r="628" spans="4:4" s="58" customFormat="1" x14ac:dyDescent="0.25">
      <c r="D628" s="59"/>
    </row>
    <row r="629" spans="4:4" s="58" customFormat="1" x14ac:dyDescent="0.25">
      <c r="D629" s="59"/>
    </row>
    <row r="630" spans="4:4" s="58" customFormat="1" x14ac:dyDescent="0.25">
      <c r="D630" s="59"/>
    </row>
    <row r="631" spans="4:4" s="58" customFormat="1" x14ac:dyDescent="0.25">
      <c r="D631" s="59"/>
    </row>
    <row r="632" spans="4:4" s="58" customFormat="1" x14ac:dyDescent="0.25">
      <c r="D632" s="59"/>
    </row>
    <row r="633" spans="4:4" s="58" customFormat="1" x14ac:dyDescent="0.25">
      <c r="D633" s="59"/>
    </row>
    <row r="634" spans="4:4" s="58" customFormat="1" x14ac:dyDescent="0.25">
      <c r="D634" s="59"/>
    </row>
    <row r="635" spans="4:4" s="58" customFormat="1" x14ac:dyDescent="0.25">
      <c r="D635" s="59"/>
    </row>
    <row r="636" spans="4:4" s="58" customFormat="1" x14ac:dyDescent="0.25">
      <c r="D636" s="59"/>
    </row>
    <row r="637" spans="4:4" s="58" customFormat="1" x14ac:dyDescent="0.25">
      <c r="D637" s="59"/>
    </row>
    <row r="638" spans="4:4" s="58" customFormat="1" x14ac:dyDescent="0.25">
      <c r="D638" s="59"/>
    </row>
    <row r="639" spans="4:4" s="58" customFormat="1" x14ac:dyDescent="0.25">
      <c r="D639" s="59"/>
    </row>
    <row r="640" spans="4:4" s="58" customFormat="1" x14ac:dyDescent="0.25">
      <c r="D640" s="59"/>
    </row>
    <row r="641" spans="4:4" s="58" customFormat="1" x14ac:dyDescent="0.25">
      <c r="D641" s="59"/>
    </row>
    <row r="642" spans="4:4" s="58" customFormat="1" x14ac:dyDescent="0.25">
      <c r="D642" s="59"/>
    </row>
    <row r="643" spans="4:4" s="58" customFormat="1" x14ac:dyDescent="0.25">
      <c r="D643" s="59"/>
    </row>
    <row r="644" spans="4:4" s="58" customFormat="1" x14ac:dyDescent="0.25">
      <c r="D644" s="59"/>
    </row>
    <row r="645" spans="4:4" s="58" customFormat="1" x14ac:dyDescent="0.25">
      <c r="D645" s="59"/>
    </row>
    <row r="646" spans="4:4" s="58" customFormat="1" x14ac:dyDescent="0.25">
      <c r="D646" s="59"/>
    </row>
    <row r="647" spans="4:4" s="58" customFormat="1" x14ac:dyDescent="0.25">
      <c r="D647" s="59"/>
    </row>
    <row r="648" spans="4:4" s="58" customFormat="1" x14ac:dyDescent="0.25">
      <c r="D648" s="59"/>
    </row>
    <row r="649" spans="4:4" s="58" customFormat="1" x14ac:dyDescent="0.25">
      <c r="D649" s="59"/>
    </row>
    <row r="650" spans="4:4" s="58" customFormat="1" x14ac:dyDescent="0.25">
      <c r="D650" s="59"/>
    </row>
    <row r="651" spans="4:4" s="58" customFormat="1" x14ac:dyDescent="0.25">
      <c r="D651" s="59"/>
    </row>
    <row r="652" spans="4:4" s="58" customFormat="1" x14ac:dyDescent="0.25">
      <c r="D652" s="59"/>
    </row>
    <row r="653" spans="4:4" s="58" customFormat="1" x14ac:dyDescent="0.25">
      <c r="D653" s="59"/>
    </row>
    <row r="654" spans="4:4" s="58" customFormat="1" x14ac:dyDescent="0.25">
      <c r="D654" s="59"/>
    </row>
    <row r="655" spans="4:4" s="58" customFormat="1" x14ac:dyDescent="0.25">
      <c r="D655" s="59"/>
    </row>
    <row r="656" spans="4:4" s="58" customFormat="1" x14ac:dyDescent="0.25">
      <c r="D656" s="59"/>
    </row>
  </sheetData>
  <mergeCells count="20">
    <mergeCell ref="B13:G13"/>
    <mergeCell ref="B43:C43"/>
    <mergeCell ref="D43:F43"/>
    <mergeCell ref="B46:G46"/>
    <mergeCell ref="B3:G3"/>
    <mergeCell ref="B5:G5"/>
    <mergeCell ref="B6:G6"/>
    <mergeCell ref="B8:G8"/>
    <mergeCell ref="B10:G10"/>
    <mergeCell ref="B11:G11"/>
    <mergeCell ref="B24:G24"/>
    <mergeCell ref="B29:G29"/>
    <mergeCell ref="B41:G41"/>
    <mergeCell ref="B44:G44"/>
    <mergeCell ref="B50:G50"/>
    <mergeCell ref="B15:G15"/>
    <mergeCell ref="B17:G17"/>
    <mergeCell ref="B19:G19"/>
    <mergeCell ref="B21:G21"/>
    <mergeCell ref="B32:G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Delgado</dc:creator>
  <cp:lastModifiedBy>Santiago Pérez Avila</cp:lastModifiedBy>
  <dcterms:created xsi:type="dcterms:W3CDTF">2026-03-12T17:55:15Z</dcterms:created>
  <dcterms:modified xsi:type="dcterms:W3CDTF">2026-03-16T02:35:00Z</dcterms:modified>
</cp:coreProperties>
</file>